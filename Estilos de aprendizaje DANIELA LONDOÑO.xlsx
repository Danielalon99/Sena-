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prendiz\Desktop\"/>
    </mc:Choice>
  </mc:AlternateContent>
  <xr:revisionPtr revIDLastSave="0" documentId="8_{B1EB7484-8D26-4B0F-9872-DE6A4AA7B6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" sheetId="1" r:id="rId1"/>
    <sheet name="SINTE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" i="1" l="1" a="1"/>
  <c r="H60" i="1" s="1"/>
  <c r="I43" i="1"/>
  <c r="N49" i="1" s="1"/>
  <c r="G43" i="1"/>
  <c r="M49" i="1" s="1"/>
  <c r="E43" i="1"/>
  <c r="L49" i="1" s="1"/>
  <c r="C43" i="1"/>
  <c r="K49" i="1" s="1"/>
  <c r="H45" i="1" l="1"/>
  <c r="F60" i="1" s="1"/>
  <c r="H46" i="1"/>
  <c r="F51" i="1" l="1"/>
  <c r="F54" i="1"/>
  <c r="F57" i="1"/>
  <c r="H57" i="1" s="1"/>
  <c r="F61" i="1"/>
  <c r="F52" i="1"/>
  <c r="F55" i="1"/>
  <c r="F58" i="1"/>
  <c r="H54" i="1" l="1"/>
  <c r="H5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5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ID#AAABlSD2ulk
Autor    (2025-07-30 23:10:54)
Características del Alumno Asimilador
Le agrada aprender de manera individual
Sintetiza bien
Genera modelos
Reflexivo
Pensador abstracto
Orientado a la reflexión
Disfruta la teoría
Disfruta hacer teoría
Poco empático
Hermético
Disfruta el diseño
Planificador
Poco sensible
Investigador</t>
        </r>
      </text>
    </comment>
    <comment ref="H54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ID#AAABlSD2ulY
Autor    (2025-07-30 23:10:54)
Características del Alumno Convergente
Pragmático
Racional
Analítico
Organizado
Buen discriminador
Orientado a la tarea
Disfruta aspectos técnicos
Gusta de la experimentación
Es poco empático
Hermético
Poco imaginativo
Buen líder
Insensible 
Deductivo</t>
        </r>
      </text>
    </comment>
    <comment ref="H57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ID#AAABlSD2ulg
Autor    (2025-07-30 23:10:54)
Características del Alumno Divergente
Sociable para aprender
Sintetiza bien
Genera ideas
Soñador
Valora la comprensión
Orientado a las personas
Espontáneo
Disfruta el descubrimiento
Empático
Abierto
Muy imaginativo
Emocional
Flexible
Intuitivo</t>
        </r>
      </text>
    </comment>
    <comment ref="H60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ID#AAABlSD2ulc
Autor    (2025-07-30 23:10:54)
Características del Alumno Acomodador
Sociable
Organizado
Acepta retos
Impulsivo
Busca objetivos
Orientado a la acción
Dependiente de los demás
Poca habilidad analítica
Empático
Abierto
Asistemático
Espontáneo
Flexible
Comprometido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<sst xmlns="http://schemas.openxmlformats.org/spreadsheetml/2006/main" count="96" uniqueCount="84">
  <si>
    <t>IDENTIFICACION ESTILOS DE APRENDIZAJE</t>
  </si>
  <si>
    <t>Número de identificación</t>
  </si>
  <si>
    <t>Programa de formación</t>
  </si>
  <si>
    <t>Nombres completos</t>
  </si>
  <si>
    <t xml:space="preserve">Fecha: </t>
  </si>
  <si>
    <t>Edad</t>
  </si>
  <si>
    <t>Para evaluar su estilo de aprendizaje presentamos grupos de 4 conceptos en cada fila (horizontal), que deberá señalar así:</t>
  </si>
  <si>
    <t>El estilo de aprendizaje que más se acerque al suyo</t>
  </si>
  <si>
    <t>El estilo de aprendizaje que lo sigue en orden decreciente</t>
  </si>
  <si>
    <t>El estilo de aprendizaje que menos se acerca al suyo</t>
  </si>
  <si>
    <r>
      <rPr>
        <b/>
        <sz val="14"/>
        <color rgb="FF000000"/>
        <rFont val="Arial"/>
      </rPr>
      <t>INSTRUCCIÓN</t>
    </r>
    <r>
      <rPr>
        <sz val="14"/>
        <color rgb="FF000000"/>
        <rFont val="Arial"/>
      </rPr>
      <t>: Debe completar los cuatro casilleros en cada fila sin repetir los números. Se incluye la valoración de manera  horizontal.</t>
    </r>
  </si>
  <si>
    <t xml:space="preserve">Atribuya un 4 a la que mejor describa su manera habitual de proceder cuando usted trata de aprender o resolver un problema y 1 a la que peor describa su manera habitual.  </t>
  </si>
  <si>
    <t>Entre las dos alternativas que quedan, atribuya 3 a la que más se aproxima a su manera habitual de actuar y 2 a la que más se aleje de su forma habitual.  Ninguna casilla de la encuesta debe quedar vacía.  Es muy importante asignar un valor diferente para cada una de las 4 alternativas de respuesta de cada enunciado</t>
  </si>
  <si>
    <t>La pregunta a contestar es: ¿Cómo aprendo? Ó Cuando deseo aprender algo o resolver un problema, mis manera habitual de proceder podría calificarse de:</t>
  </si>
  <si>
    <t>EXPERIENCIA CONCRECTA</t>
  </si>
  <si>
    <t>OBSERVACIÓN REFLEXIVA</t>
  </si>
  <si>
    <t>CONCEPTUALIZACIÓN ABSTRACTA</t>
  </si>
  <si>
    <t>EXPERIMENTACIÓN ACTIVA</t>
  </si>
  <si>
    <t>Dimensiones del aprendizaje según David Kolb</t>
  </si>
  <si>
    <t xml:space="preserve">DICERNIMIENTO
Procedo por eliminación, trato de distinguir cuidadosamente los elementos más pertinentes. </t>
  </si>
  <si>
    <t>ENSAYANDO. 
Actúo por olfato, ensayo las cosas que se me ocurren, que se me vienen a la mente hasta que funciona</t>
  </si>
  <si>
    <t>INVOLUCRÁNDOME. 
Me involucro a fondo, trabajo con ardor, pongo mucho interés y energía.</t>
  </si>
  <si>
    <t>PRACTICANDO. 
Trato de hacerlo de manera satisfactoria, yendo de lo más corto, con un mínimo de tiempo y esfuerzo.</t>
  </si>
  <si>
    <t>Experiencia Concreta y Conceptualización abstracta</t>
  </si>
  <si>
    <t>Forma como el individuo organiza su trabajo</t>
  </si>
  <si>
    <t>Experimentación activa y Observación reflexiva</t>
  </si>
  <si>
    <t>Manera como el individuo se relaciona con el objeto de aprendizaje</t>
  </si>
  <si>
    <t xml:space="preserve">RECEPTIVAMENTE
Estoy concentrado plenamente en lo que sucede y disponible para recoger la mayor cantidad de elementos posible.
</t>
  </si>
  <si>
    <t>RELACIONANDO.
 Trato de ubicarme correctamente con relación a la pregunta o al problema que se presenta.</t>
  </si>
  <si>
    <t xml:space="preserve">ANALITICAMENTE.
Analizo la situación, tomo en consideración, uno a uno, los diferentes elementos que pueda identificar. </t>
  </si>
  <si>
    <t xml:space="preserve">IMPARCIALMENTE. 
Me esfuerzo por ser lo más objetivo posible, estudio la situación sin tomar partido ni prejuicios.
</t>
  </si>
  <si>
    <t>SINTIENDO. 
Pongo atención a lo que siento espontáneamente y a lo que soy dentro de la situación.</t>
  </si>
  <si>
    <t xml:space="preserve">OBSERVANDO. 
Observo atentamente lo que sucede y como se desarrolla
</t>
  </si>
  <si>
    <t>PENSANDO. 
Pienso y trato de comprender qué es lo que me presenta una dificultad, trato de encontrar una explicación a lo que me intriga</t>
  </si>
  <si>
    <t>HACIENDO. 
Paso rápidamente a la acción, hago de todo para resolver inmediatamente y de manera práctica el problema presentado.</t>
  </si>
  <si>
    <t>ACEPTANDO
Acepto la situación tal cual se presenta, admito incondicionalmente la realidad, parto de los hechos tal como son.</t>
  </si>
  <si>
    <t>TOMANDO RIESGOS.
Me involucro en buen grado en experiencias nuevas, tengo tendencia a salirme de los caminos convencionales.</t>
  </si>
  <si>
    <t>EVALUANDO. 
En primer lugar y ante todo trato de evaluar seriamente el estado actual de las cosas, y apreciar su justo valor antes de efectuar cualquier cambio.</t>
  </si>
  <si>
    <t>CON CAUTELA. 
Fijándome si las ideas con ciertas o correctas. Me mantengo alerta, con los ojos abiertos, trato de percibir lúcidamente todo lo que me concierne de cerca o de lejos al problema o a su solución,</t>
  </si>
  <si>
    <t>INTUITIVAMENTE. 
Me fío a lo que surge espontáneamente de mi intuición, antes que recurrir al razonamiento lógico (inducción, deducción, comparación, etc.)</t>
  </si>
  <si>
    <t>PRODUCTIVAMENTE. 
Me preocupo sobre todo por obtener resultados concretos, trato de alcanzar un producto útil o interesante.</t>
  </si>
  <si>
    <t xml:space="preserve">LOGICAMENTE
Trato de aplicar hasta el fin un razonamiento lógico (inductivo, deductivo, comparativo, etc.) riguroso. </t>
  </si>
  <si>
    <t>CUESTINANDO. 
 Me hago todo tipo de preguntas y trato activamente de buscar y aportar elementos de respuestas satisfactorias.</t>
  </si>
  <si>
    <t>ABSTRACTO.
Tengo tendencia a referirme más, a los principios y conocimientos adquiridos antes que detenerme a analizar los hechos o las evidencias de la realidad.</t>
  </si>
  <si>
    <t>OBSERVANDO.
Examinando atentamente los detalles.  Prefiero observar atentamente lo que sucede en lugar de tratar de buscar e imaginar diferentes explicaciones.</t>
  </si>
  <si>
    <t>CONCRETO. 
Me intereso sobre todo en los aspectos concretos, materiales del problema, antes que en sus dimensiones conceptuales, teóricas.</t>
  </si>
  <si>
    <t>ACTIVO. 
Prefiero antes que nada hacer activamente algo, hacer operaciones prácticas.</t>
  </si>
  <si>
    <t>ORIENTADO HACIA EL PRESENTE. 
Tengo en cuenta antes que nada, lo que sucede en el momento presente, antes que concentrarme sobre algo que ha sucedido antes o que sucederá después</t>
  </si>
  <si>
    <t>REFLEXIVO. 
Pienso, reflexiono, el problema da vueltas en mi cabeza, lo “mastico mentalmente”.</t>
  </si>
  <si>
    <t>ORIENTADO HACIA EL FUTURO. 
Me preocupo sobretodo de las perspectivas del futuro, trato de prever y/o prevenir lo que podría eventualmente suceder con relación a ello.</t>
  </si>
  <si>
    <t>PRAGMÁTICO. 
Buscando efectos o usos prácticos.. Antes de gastar energías, me preocupo primero de que va a servirme, qué aplicación práctica podría tener en la vida de todos los días.</t>
  </si>
  <si>
    <t>APRENDIENDO MÁS DE LA EXPERIENCIA
Me refiero principalmente al conjunto de mis experiencias vividas, o a lo que otros han encontrado.</t>
  </si>
  <si>
    <t xml:space="preserve">APRENDE MÁS DE LA OBSERVACIÓN
Mantengo mi atención sobre la situación, analizo y observo todo lo que concierna de cerca o de lejos. </t>
  </si>
  <si>
    <t>APRENDE MÁS DE LA CONCEPCIÓN. 
Me las ingenio para elaborar una explicación teórica que muestre, de manera original, los diversos aspectos de la situación problemática.</t>
  </si>
  <si>
    <t>DISEÑANDO FORMAS DE PROBAR LAS IDEAS
Creo o provoco los acontecimientos o situaciones con el objetivo de estudiarlos metódicamente o controlar los aspectos indeseables.</t>
  </si>
  <si>
    <t>AFECTIVAMENTE
Pongo toda mi atención sobre el tema o problema y reflexiono hasta llegar a una conclusión satisfactoria.</t>
  </si>
  <si>
    <t xml:space="preserve">
RESERVADO. 
Con cautela y sin manifestación externa.  Tengo tendencia a ser prudente y moderado, a documentarme bien antes de pronunciarme sobre una pregunta o un problema.</t>
  </si>
  <si>
    <t>RACIONAL
 Utilizo mi razonamiento y mi juicio lógico para resolver un problema o responder una pregunta.</t>
  </si>
  <si>
    <t xml:space="preserve">ABIERTO. 
Apertura a otras opciones.  </t>
  </si>
  <si>
    <t>TOTAL</t>
  </si>
  <si>
    <t>Conceptualización abstracta menos experiencia concreta</t>
  </si>
  <si>
    <t>X</t>
  </si>
  <si>
    <t>Experimentación activa menos observación reflexiva</t>
  </si>
  <si>
    <t>Y</t>
  </si>
  <si>
    <t>EXPERIENCIA CONCRETA</t>
  </si>
  <si>
    <t>EXPERIMEN TACIÓN ACTIVA</t>
  </si>
  <si>
    <t>ASIMILADOR</t>
  </si>
  <si>
    <t>Si X está entre 3 y 18, y entre 2 y -11</t>
  </si>
  <si>
    <t>CONVERGENTE</t>
  </si>
  <si>
    <t>Si X está entre 3 y 18 y Y entre 3 y 17.</t>
  </si>
  <si>
    <t>DIVERGENTE</t>
  </si>
  <si>
    <t>Si X está entre 2 y -12, y Y entre 2 y -12</t>
  </si>
  <si>
    <t>ACOMODADOR</t>
  </si>
  <si>
    <t>Si X está entre 2 y -12 y Y entre 3 y 17.</t>
  </si>
  <si>
    <t>Tiene habilidad para aprender a partir de la experiencia práctica, disfruta desarrollando planes e involucrándose con nuebas y retadoras experiencias, tiende a actuar más por el sentimiento que por el análisis.</t>
  </si>
  <si>
    <t>En la solución de problemas dependen de la información y análisis de otras personas, pero es la persona que hace que las cosas se realicen y lidera grupos ne la concreción de sus metas.</t>
  </si>
  <si>
    <t>Si bien no hay riesgos con esta persona de que incumpla con los trabajos, si puede perderse en actividades triviales. Puede desempeñarse muy bien en los carreras orientadas a la práctica como a las ventas y a la mercadotecnia.</t>
  </si>
  <si>
    <t>Es la persona que genera fácilmente ideas, que se desempeña bien situaciones que su comprensión reguiere observarlas desde diferentes puntos de vista. Es creativa, interesada en la gente y con amplios intereses culturales.</t>
  </si>
  <si>
    <t>Es la persona que se propone y tiene la habilidad para encontrarle uso práctico a las ideas y teorías para solucionar problemas y preguntas concretas.</t>
  </si>
  <si>
    <t>Prefiera trabajar con objetos y problemas técnicos que manejar situaciones sociales o interpersonales. Se le facilita por su estilo de aprendizaje la formación orientada a lo científico y tenológico.</t>
  </si>
  <si>
    <t>Le gusta manejar una amplia varieda de información, datos y hechos y tiene habilidad para organizarlos en forma lógica y concisa, aprende desde teorías,  leyes, generalizaciones y poco se preocupa por la aplicación de éstas.</t>
  </si>
  <si>
    <t>Se desempeña bien en la planeación, informática y ciencias puras, creando modelos, difiniendo problemas, desarrollando y experimentando teorías. Prefiere las relaciones con las ideas que con la gente.</t>
  </si>
  <si>
    <t>SHARIKS DANIELA LONDOÑO PENAGOS</t>
  </si>
  <si>
    <t>ANALISIS Y DESARROLLO DE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</si>
</sst>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1" x14ac:knownFonts="1">
    <font>
      <sz val="11"/>
      <color theme="1"/>
      <name val="Calibri"/>
      <scheme val="minor"/>
    </font>
    <font>
      <b/>
      <sz val="20"/>
      <color rgb="FF000000"/>
      <name val="Arial"/>
    </font>
    <font>
      <sz val="11"/>
      <color rgb="FF000000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sz val="11"/>
      <name val="Calibri"/>
    </font>
    <font>
      <sz val="10"/>
      <color rgb="FF000000"/>
      <name val="Arial"/>
    </font>
    <font>
      <sz val="14"/>
      <color rgb="FF000000"/>
      <name val="Arial"/>
    </font>
    <font>
      <b/>
      <sz val="13"/>
      <color rgb="FF000000"/>
      <name val="Arial"/>
    </font>
    <font>
      <sz val="13"/>
      <color rgb="FF000000"/>
      <name val="Arial"/>
    </font>
    <font>
      <sz val="16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2"/>
      <color rgb="FF000000"/>
      <name val="Arial"/>
    </font>
    <font>
      <b/>
      <sz val="11"/>
      <color theme="1"/>
      <name val="Calibri"/>
    </font>
    <font>
      <sz val="13"/>
      <color rgb="FF000000"/>
      <name val="Calibri"/>
    </font>
    <font>
      <b/>
      <sz val="12"/>
      <color theme="1"/>
      <name val="Calibri"/>
    </font>
    <font>
      <b/>
      <sz val="11"/>
      <color rgb="FF003366"/>
      <name val="Cambria"/>
    </font>
    <font>
      <b/>
      <sz val="10"/>
      <color rgb="FF000000"/>
      <name val="Calibri"/>
    </font>
    <font>
      <b/>
      <sz val="14"/>
      <color rgb="FF000000"/>
      <name val="Calibri"/>
    </font>
    <font>
      <b/>
      <sz val="14"/>
      <color rgb="FFFFFFFF"/>
      <name val="Calibri"/>
    </font>
    <font>
      <sz val="11"/>
      <color rgb="FF000000"/>
      <name val="Calibri"/>
    </font>
    <font>
      <b/>
      <sz val="8"/>
      <color rgb="FF000000"/>
      <name val="Calibri"/>
    </font>
    <font>
      <sz val="11"/>
      <color rgb="FFFFFFFF"/>
      <name val="Calibri"/>
    </font>
    <font>
      <b/>
      <sz val="12"/>
      <color theme="1"/>
      <name val="Verdana"/>
    </font>
    <font>
      <sz val="11"/>
      <color rgb="FF000000"/>
      <name val="Verdana"/>
    </font>
    <font>
      <b/>
      <sz val="12"/>
      <color rgb="FFFFFF00"/>
      <name val="Verdana"/>
    </font>
    <font>
      <sz val="11"/>
      <color theme="1"/>
      <name val="Calibri"/>
    </font>
    <font>
      <b/>
      <sz val="12"/>
      <color rgb="FF800080"/>
      <name val="Verdana"/>
    </font>
    <font>
      <b/>
      <sz val="14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6600"/>
        <bgColor rgb="FFFF6600"/>
      </patternFill>
    </fill>
    <fill>
      <patternFill patternType="solid">
        <fgColor rgb="FF339966"/>
        <bgColor rgb="FF339966"/>
      </patternFill>
    </fill>
    <fill>
      <patternFill patternType="solid">
        <fgColor rgb="FF33CCCC"/>
        <bgColor rgb="FF33CCCC"/>
      </patternFill>
    </fill>
    <fill>
      <patternFill patternType="solid">
        <fgColor rgb="FF800080"/>
        <bgColor rgb="FF800080"/>
      </patternFill>
    </fill>
    <fill>
      <patternFill patternType="solid">
        <fgColor rgb="FF333399"/>
        <bgColor rgb="FF333399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" fillId="0" borderId="0" xfId="0" applyFont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/>
    <xf numFmtId="0" fontId="10" fillId="0" borderId="0" xfId="0" applyFont="1"/>
    <xf numFmtId="0" fontId="12" fillId="0" borderId="3" xfId="0" applyFont="1" applyBorder="1"/>
    <xf numFmtId="0" fontId="11" fillId="0" borderId="3" xfId="0" applyFont="1" applyBorder="1" applyAlignment="1">
      <alignment vertical="center" wrapText="1"/>
    </xf>
    <xf numFmtId="0" fontId="12" fillId="0" borderId="0" xfId="0" applyFont="1" applyAlignment="1">
      <alignment wrapText="1"/>
    </xf>
    <xf numFmtId="0" fontId="12" fillId="0" borderId="3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15" fillId="0" borderId="0" xfId="0" applyFont="1"/>
    <xf numFmtId="0" fontId="11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6" fillId="0" borderId="3" xfId="0" applyFont="1" applyBorder="1" applyAlignment="1">
      <alignment horizontal="center"/>
    </xf>
    <xf numFmtId="0" fontId="17" fillId="0" borderId="3" xfId="0" applyFont="1" applyBorder="1" applyAlignment="1">
      <alignment horizontal="center" vertical="center" wrapText="1"/>
    </xf>
    <xf numFmtId="0" fontId="12" fillId="0" borderId="0" xfId="0" applyFont="1"/>
    <xf numFmtId="0" fontId="18" fillId="0" borderId="0" xfId="0" applyFont="1" applyAlignment="1">
      <alignment horizontal="center" vertical="center" wrapText="1"/>
    </xf>
    <xf numFmtId="0" fontId="12" fillId="2" borderId="12" xfId="0" applyFont="1" applyFill="1" applyBorder="1" applyAlignment="1">
      <alignment horizontal="center"/>
    </xf>
    <xf numFmtId="0" fontId="12" fillId="3" borderId="12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center"/>
    </xf>
    <xf numFmtId="0" fontId="12" fillId="5" borderId="12" xfId="0" applyFont="1" applyFill="1" applyBorder="1" applyAlignment="1">
      <alignment horizontal="center"/>
    </xf>
    <xf numFmtId="0" fontId="19" fillId="0" borderId="0" xfId="0" applyFont="1" applyAlignment="1">
      <alignment horizontal="center" wrapText="1"/>
    </xf>
    <xf numFmtId="0" fontId="20" fillId="5" borderId="12" xfId="0" applyFont="1" applyFill="1" applyBorder="1" applyAlignment="1">
      <alignment horizontal="center" wrapText="1"/>
    </xf>
    <xf numFmtId="0" fontId="20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0" fontId="23" fillId="0" borderId="0" xfId="0" applyFont="1" applyAlignment="1">
      <alignment horizontal="center"/>
    </xf>
    <xf numFmtId="0" fontId="19" fillId="5" borderId="12" xfId="0" applyFont="1" applyFill="1" applyBorder="1" applyAlignment="1">
      <alignment horizontal="center" wrapText="1"/>
    </xf>
    <xf numFmtId="0" fontId="21" fillId="0" borderId="0" xfId="0" applyFont="1"/>
    <xf numFmtId="0" fontId="24" fillId="0" borderId="0" xfId="0" applyFont="1"/>
    <xf numFmtId="0" fontId="20" fillId="3" borderId="12" xfId="0" applyFont="1" applyFill="1" applyBorder="1" applyAlignment="1">
      <alignment horizontal="center"/>
    </xf>
    <xf numFmtId="0" fontId="19" fillId="3" borderId="12" xfId="0" applyFont="1" applyFill="1" applyBorder="1" applyAlignment="1">
      <alignment horizontal="center" wrapText="1"/>
    </xf>
    <xf numFmtId="0" fontId="20" fillId="6" borderId="12" xfId="0" applyFont="1" applyFill="1" applyBorder="1" applyAlignment="1">
      <alignment horizontal="center"/>
    </xf>
    <xf numFmtId="0" fontId="19" fillId="6" borderId="12" xfId="0" applyFont="1" applyFill="1" applyBorder="1" applyAlignment="1">
      <alignment horizontal="center" wrapText="1"/>
    </xf>
    <xf numFmtId="0" fontId="20" fillId="2" borderId="12" xfId="0" applyFont="1" applyFill="1" applyBorder="1" applyAlignment="1">
      <alignment horizontal="center"/>
    </xf>
    <xf numFmtId="0" fontId="19" fillId="2" borderId="12" xfId="0" applyFont="1" applyFill="1" applyBorder="1" applyAlignment="1">
      <alignment horizontal="center" wrapText="1"/>
    </xf>
    <xf numFmtId="0" fontId="25" fillId="0" borderId="0" xfId="0" applyFont="1" applyAlignment="1">
      <alignment horizontal="left"/>
    </xf>
    <xf numFmtId="0" fontId="26" fillId="0" borderId="0" xfId="0" applyFont="1"/>
    <xf numFmtId="0" fontId="26" fillId="0" borderId="0" xfId="0" applyFont="1" applyAlignment="1">
      <alignment vertical="center" wrapText="1"/>
    </xf>
    <xf numFmtId="0" fontId="28" fillId="0" borderId="0" xfId="0" applyFont="1"/>
    <xf numFmtId="0" fontId="13" fillId="0" borderId="8" xfId="0" applyFont="1" applyBorder="1" applyAlignment="1">
      <alignment horizontal="center" vertical="center" wrapText="1"/>
    </xf>
    <xf numFmtId="0" fontId="5" fillId="0" borderId="10" xfId="0" applyFont="1" applyBorder="1"/>
    <xf numFmtId="0" fontId="14" fillId="0" borderId="9" xfId="0" applyFont="1" applyBorder="1" applyAlignment="1">
      <alignment vertical="center" wrapText="1"/>
    </xf>
    <xf numFmtId="0" fontId="5" fillId="0" borderId="11" xfId="0" applyFont="1" applyBorder="1"/>
    <xf numFmtId="0" fontId="11" fillId="0" borderId="0" xfId="0" applyFont="1" applyAlignment="1">
      <alignment horizontal="center" vertical="center" wrapText="1"/>
    </xf>
    <xf numFmtId="0" fontId="0" fillId="0" borderId="0" xfId="0"/>
    <xf numFmtId="0" fontId="15" fillId="0" borderId="0" xfId="0" applyFont="1" applyAlignment="1">
      <alignment horizontal="center"/>
    </xf>
    <xf numFmtId="0" fontId="16" fillId="0" borderId="1" xfId="0" applyFont="1" applyBorder="1" applyAlignment="1">
      <alignment horizontal="left" wrapText="1"/>
    </xf>
    <xf numFmtId="0" fontId="5" fillId="0" borderId="4" xfId="0" applyFont="1" applyBorder="1"/>
    <xf numFmtId="0" fontId="5" fillId="0" borderId="2" xfId="0" applyFont="1" applyBorder="1"/>
    <xf numFmtId="0" fontId="4" fillId="0" borderId="0" xfId="0" applyFont="1" applyAlignment="1">
      <alignment vertical="center" wrapText="1"/>
    </xf>
    <xf numFmtId="0" fontId="21" fillId="5" borderId="13" xfId="0" applyFont="1" applyFill="1" applyBorder="1" applyAlignment="1">
      <alignment horizontal="center" vertical="center"/>
    </xf>
    <xf numFmtId="0" fontId="5" fillId="0" borderId="14" xfId="0" applyFont="1" applyBorder="1"/>
    <xf numFmtId="0" fontId="21" fillId="3" borderId="13" xfId="0" applyFont="1" applyFill="1" applyBorder="1" applyAlignment="1">
      <alignment horizontal="center" vertical="center"/>
    </xf>
    <xf numFmtId="0" fontId="21" fillId="6" borderId="13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7" fillId="0" borderId="0" xfId="0" applyFont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7" fillId="0" borderId="0" xfId="0" applyFont="1" applyAlignment="1">
      <alignment horizontal="left" wrapText="1"/>
    </xf>
    <xf numFmtId="0" fontId="11" fillId="0" borderId="5" xfId="0" applyFont="1" applyBorder="1" applyAlignment="1">
      <alignment horizontal="center" vertical="center" wrapText="1"/>
    </xf>
    <xf numFmtId="0" fontId="5" fillId="0" borderId="6" xfId="0" applyFont="1" applyBorder="1"/>
    <xf numFmtId="0" fontId="11" fillId="0" borderId="7" xfId="0" applyFont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29" fillId="4" borderId="15" xfId="0" applyFont="1" applyFill="1" applyBorder="1" applyAlignment="1">
      <alignment horizontal="left"/>
    </xf>
    <xf numFmtId="0" fontId="5" fillId="0" borderId="16" xfId="0" applyFont="1" applyBorder="1"/>
    <xf numFmtId="0" fontId="25" fillId="2" borderId="15" xfId="0" applyFont="1" applyFill="1" applyBorder="1" applyAlignment="1">
      <alignment horizontal="left"/>
    </xf>
    <xf numFmtId="0" fontId="27" fillId="3" borderId="15" xfId="0" applyFont="1" applyFill="1" applyBorder="1" applyAlignment="1">
      <alignment horizontal="left"/>
    </xf>
    <xf numFmtId="0" fontId="25" fillId="4" borderId="1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FORMATO!$K$48:$N$48</c:f>
              <c:strCache>
                <c:ptCount val="4"/>
                <c:pt idx="0">
                  <c:v>EXPERIENCIA CONCRETA</c:v>
                </c:pt>
                <c:pt idx="1">
                  <c:v>OBSERVACIÓN REFLEXIVA</c:v>
                </c:pt>
                <c:pt idx="2">
                  <c:v>CONCEPTUALIZACIÓN ABSTRACTA</c:v>
                </c:pt>
                <c:pt idx="3">
                  <c:v>EXPERIMEN TACIÓN ACTIVA</c:v>
                </c:pt>
              </c:strCache>
            </c:strRef>
          </c:cat>
          <c:val>
            <c:numRef>
              <c:f>FORMATO!$K$49:$N$49</c:f>
              <c:numCache>
                <c:formatCode>General</c:formatCode>
                <c:ptCount val="4"/>
                <c:pt idx="0">
                  <c:v>12</c:v>
                </c:pt>
                <c:pt idx="1">
                  <c:v>21</c:v>
                </c:pt>
                <c:pt idx="2">
                  <c:v>18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4-4B87-857D-7439C86D7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263326"/>
        <c:axId val="2080157569"/>
      </c:radarChart>
      <c:catAx>
        <c:axId val="560263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2080157569"/>
        <c:crosses val="autoZero"/>
        <c:auto val="1"/>
        <c:lblAlgn val="ctr"/>
        <c:lblOffset val="100"/>
        <c:noMultiLvlLbl val="1"/>
      </c:catAx>
      <c:valAx>
        <c:axId val="20801575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560263326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1847850</xdr:colOff>
      <xdr:row>49</xdr:row>
      <xdr:rowOff>0</xdr:rowOff>
    </xdr:from>
    <xdr:ext cx="6972300" cy="4467225"/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285750</xdr:colOff>
      <xdr:row>23</xdr:row>
      <xdr:rowOff>95250</xdr:rowOff>
    </xdr:from>
    <xdr:ext cx="800100" cy="371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955475" y="3603788"/>
          <a:ext cx="781050" cy="352425"/>
        </a:xfrm>
        <a:prstGeom prst="rightArrow">
          <a:avLst>
            <a:gd name="adj1" fmla="val 50000"/>
            <a:gd name="adj2" fmla="val 50000"/>
          </a:avLst>
        </a:prstGeom>
        <a:solidFill>
          <a:srgbClr val="4F81BD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76200</xdr:colOff>
      <xdr:row>23</xdr:row>
      <xdr:rowOff>38100</xdr:rowOff>
    </xdr:from>
    <xdr:ext cx="428625" cy="1809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41213" y="3699038"/>
          <a:ext cx="409575" cy="161925"/>
        </a:xfrm>
        <a:prstGeom prst="rightArrow">
          <a:avLst>
            <a:gd name="adj1" fmla="val 50000"/>
            <a:gd name="adj2" fmla="val 50000"/>
          </a:avLst>
        </a:prstGeom>
        <a:solidFill>
          <a:srgbClr val="4F81BD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76200</xdr:colOff>
      <xdr:row>24</xdr:row>
      <xdr:rowOff>28575</xdr:rowOff>
    </xdr:from>
    <xdr:ext cx="428625" cy="1905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41213" y="3694275"/>
          <a:ext cx="409575" cy="171450"/>
        </a:xfrm>
        <a:prstGeom prst="rightArrow">
          <a:avLst>
            <a:gd name="adj1" fmla="val 50000"/>
            <a:gd name="adj2" fmla="val 50000"/>
          </a:avLst>
        </a:prstGeom>
        <a:solidFill>
          <a:srgbClr val="4F81BD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1228725</xdr:colOff>
      <xdr:row>53</xdr:row>
      <xdr:rowOff>190500</xdr:rowOff>
    </xdr:from>
    <xdr:ext cx="1276350" cy="3048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712588" y="3632363"/>
          <a:ext cx="12668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ACOMODADOR</a:t>
          </a:r>
          <a:endParaRPr sz="1400"/>
        </a:p>
      </xdr:txBody>
    </xdr:sp>
    <xdr:clientData fLocksWithSheet="0"/>
  </xdr:oneCellAnchor>
  <xdr:oneCellAnchor>
    <xdr:from>
      <xdr:col>12</xdr:col>
      <xdr:colOff>638175</xdr:colOff>
      <xdr:row>53</xdr:row>
      <xdr:rowOff>171450</xdr:rowOff>
    </xdr:from>
    <xdr:ext cx="1000125" cy="2476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850700" y="3660938"/>
          <a:ext cx="99060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DIVERGENTE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J11" sqref="J11"/>
    </sheetView>
  </sheetViews>
  <sheetFormatPr baseColWidth="10" defaultColWidth="14.42578125" defaultRowHeight="15" customHeight="1" x14ac:dyDescent="0.25"/>
  <cols>
    <col min="1" max="1" width="4" customWidth="1"/>
    <col min="2" max="2" width="2.85546875" customWidth="1"/>
    <col min="3" max="3" width="5.7109375" customWidth="1"/>
    <col min="4" max="4" width="25.140625" customWidth="1"/>
    <col min="5" max="5" width="5.7109375" customWidth="1"/>
    <col min="6" max="6" width="26.85546875" customWidth="1"/>
    <col min="7" max="7" width="5.7109375" customWidth="1"/>
    <col min="8" max="8" width="29" customWidth="1"/>
    <col min="9" max="9" width="5.7109375" customWidth="1"/>
    <col min="10" max="10" width="34.5703125" customWidth="1"/>
    <col min="11" max="11" width="23.28515625" customWidth="1"/>
    <col min="12" max="12" width="22.7109375" customWidth="1"/>
    <col min="13" max="13" width="28.42578125" customWidth="1"/>
    <col min="14" max="14" width="23.28515625" customWidth="1"/>
    <col min="15" max="26" width="10" customWidth="1"/>
  </cols>
  <sheetData>
    <row r="1" spans="2:10" ht="22.5" customHeight="1" x14ac:dyDescent="0.25"/>
    <row r="2" spans="2:10" ht="22.5" customHeight="1" x14ac:dyDescent="0.25">
      <c r="B2" s="64" t="s">
        <v>0</v>
      </c>
      <c r="C2" s="51"/>
      <c r="D2" s="51"/>
      <c r="E2" s="51"/>
      <c r="F2" s="51"/>
      <c r="G2" s="51"/>
      <c r="H2" s="51"/>
      <c r="I2" s="51"/>
      <c r="J2" s="51"/>
    </row>
    <row r="3" spans="2:10" ht="22.5" customHeight="1" x14ac:dyDescent="0.25">
      <c r="B3" s="1"/>
      <c r="C3" s="1"/>
      <c r="D3" s="1"/>
      <c r="E3" s="1"/>
      <c r="F3" s="1"/>
      <c r="G3" s="1"/>
      <c r="H3" s="1"/>
      <c r="I3" s="1"/>
      <c r="J3" s="1"/>
    </row>
    <row r="4" spans="2:10" ht="22.5" customHeight="1" x14ac:dyDescent="0.25">
      <c r="B4" s="2"/>
      <c r="C4" s="65" t="s">
        <v>1</v>
      </c>
      <c r="D4" s="55"/>
      <c r="E4" s="66">
        <v>1023369405</v>
      </c>
      <c r="F4" s="55"/>
      <c r="G4" s="62" t="s">
        <v>2</v>
      </c>
      <c r="H4" s="55"/>
      <c r="I4" s="66" t="s">
        <v>83</v>
      </c>
      <c r="J4" s="55"/>
    </row>
    <row r="5" spans="2:10" ht="22.5" customHeight="1" x14ac:dyDescent="0.25">
      <c r="B5" s="3"/>
      <c r="C5" s="65" t="s">
        <v>3</v>
      </c>
      <c r="D5" s="55"/>
      <c r="E5" s="66" t="s">
        <v>82</v>
      </c>
      <c r="F5" s="55"/>
      <c r="G5" s="62" t="s">
        <v>4</v>
      </c>
      <c r="H5" s="55"/>
      <c r="I5" s="63">
        <v>46214</v>
      </c>
      <c r="J5" s="55"/>
    </row>
    <row r="6" spans="2:10" ht="22.5" customHeight="1" x14ac:dyDescent="0.25">
      <c r="B6" s="3"/>
      <c r="C6" s="65"/>
      <c r="D6" s="55"/>
      <c r="E6" s="66"/>
      <c r="F6" s="55"/>
      <c r="G6" s="62" t="s">
        <v>5</v>
      </c>
      <c r="H6" s="55"/>
      <c r="I6" s="66">
        <v>20</v>
      </c>
      <c r="J6" s="55"/>
    </row>
    <row r="7" spans="2:10" ht="22.5" customHeight="1" x14ac:dyDescent="0.25">
      <c r="B7" s="1"/>
      <c r="C7" s="1"/>
      <c r="D7" s="1"/>
      <c r="E7" s="1"/>
      <c r="F7" s="1"/>
      <c r="G7" s="1"/>
      <c r="H7" s="1"/>
      <c r="I7" s="1"/>
      <c r="J7" s="1"/>
    </row>
    <row r="8" spans="2:10" ht="36.75" customHeight="1" x14ac:dyDescent="0.25">
      <c r="B8" s="67" t="s">
        <v>6</v>
      </c>
      <c r="C8" s="51"/>
      <c r="D8" s="51"/>
      <c r="E8" s="51"/>
      <c r="F8" s="51"/>
      <c r="G8" s="51"/>
      <c r="H8" s="51"/>
      <c r="I8" s="51"/>
      <c r="J8" s="51"/>
    </row>
    <row r="9" spans="2:10" ht="22.5" customHeight="1" x14ac:dyDescent="0.25">
      <c r="B9" s="4"/>
      <c r="C9" s="4"/>
      <c r="D9" s="4"/>
      <c r="E9" s="4"/>
      <c r="F9" s="4"/>
      <c r="G9" s="4"/>
      <c r="H9" s="4"/>
      <c r="I9" s="4"/>
      <c r="J9" s="4"/>
    </row>
    <row r="10" spans="2:10" ht="39.75" customHeight="1" x14ac:dyDescent="0.25">
      <c r="B10" s="4"/>
      <c r="C10" s="5">
        <v>4</v>
      </c>
      <c r="D10" s="68" t="s">
        <v>7</v>
      </c>
      <c r="E10" s="54"/>
      <c r="F10" s="55"/>
      <c r="G10" s="4"/>
      <c r="H10" s="4"/>
      <c r="I10" s="4"/>
      <c r="J10" s="4"/>
    </row>
    <row r="11" spans="2:10" ht="34.5" customHeight="1" x14ac:dyDescent="0.25">
      <c r="B11" s="4"/>
      <c r="C11" s="5">
        <v>3</v>
      </c>
      <c r="D11" s="68" t="s">
        <v>8</v>
      </c>
      <c r="E11" s="54"/>
      <c r="F11" s="55"/>
      <c r="G11" s="4"/>
      <c r="H11" s="4"/>
      <c r="I11" s="4"/>
      <c r="J11" s="4"/>
    </row>
    <row r="12" spans="2:10" ht="36.75" customHeight="1" x14ac:dyDescent="0.25">
      <c r="B12" s="4"/>
      <c r="C12" s="5">
        <v>2</v>
      </c>
      <c r="D12" s="68" t="s">
        <v>8</v>
      </c>
      <c r="E12" s="54"/>
      <c r="F12" s="55"/>
      <c r="G12" s="4"/>
      <c r="H12" s="4"/>
      <c r="I12" s="4"/>
      <c r="J12" s="4"/>
    </row>
    <row r="13" spans="2:10" ht="34.5" customHeight="1" x14ac:dyDescent="0.25">
      <c r="B13" s="4"/>
      <c r="C13" s="5">
        <v>1</v>
      </c>
      <c r="D13" s="68" t="s">
        <v>9</v>
      </c>
      <c r="E13" s="54"/>
      <c r="F13" s="55"/>
      <c r="G13" s="4"/>
      <c r="H13" s="4"/>
      <c r="I13" s="4"/>
      <c r="J13" s="4"/>
    </row>
    <row r="14" spans="2:10" ht="34.5" customHeight="1" x14ac:dyDescent="0.25">
      <c r="B14" s="4"/>
      <c r="C14" s="6"/>
      <c r="D14" s="4"/>
      <c r="E14" s="4"/>
      <c r="F14" s="4"/>
      <c r="G14" s="4"/>
      <c r="H14" s="4"/>
      <c r="I14" s="4"/>
      <c r="J14" s="4"/>
    </row>
    <row r="15" spans="2:10" ht="34.5" customHeight="1" x14ac:dyDescent="0.25">
      <c r="B15" s="67" t="s">
        <v>10</v>
      </c>
      <c r="C15" s="51"/>
      <c r="D15" s="51"/>
      <c r="E15" s="51"/>
      <c r="F15" s="51"/>
      <c r="G15" s="51"/>
      <c r="H15" s="51"/>
      <c r="I15" s="51"/>
      <c r="J15" s="51"/>
    </row>
    <row r="16" spans="2:10" ht="39.75" customHeight="1" x14ac:dyDescent="0.25">
      <c r="B16" s="69" t="s">
        <v>11</v>
      </c>
      <c r="C16" s="51"/>
      <c r="D16" s="51"/>
      <c r="E16" s="51"/>
      <c r="F16" s="51"/>
      <c r="G16" s="51"/>
      <c r="H16" s="51"/>
      <c r="I16" s="51"/>
      <c r="J16" s="51"/>
    </row>
    <row r="17" spans="2:16" ht="84" customHeight="1" x14ac:dyDescent="0.25">
      <c r="B17" s="69" t="s">
        <v>12</v>
      </c>
      <c r="C17" s="51"/>
      <c r="D17" s="51"/>
      <c r="E17" s="51"/>
      <c r="F17" s="51"/>
      <c r="G17" s="51"/>
      <c r="H17" s="51"/>
      <c r="I17" s="51"/>
      <c r="J17" s="51"/>
    </row>
    <row r="18" spans="2:16" ht="22.5" customHeight="1" x14ac:dyDescent="0.25">
      <c r="B18" s="7"/>
      <c r="C18" s="7"/>
      <c r="D18" s="7"/>
      <c r="E18" s="7"/>
      <c r="F18" s="7"/>
      <c r="G18" s="7"/>
      <c r="H18" s="7"/>
      <c r="I18" s="7"/>
      <c r="J18" s="7"/>
    </row>
    <row r="19" spans="2:16" ht="22.5" customHeight="1" x14ac:dyDescent="0.25">
      <c r="B19" s="67" t="s">
        <v>13</v>
      </c>
      <c r="C19" s="51"/>
      <c r="D19" s="51"/>
      <c r="E19" s="51"/>
      <c r="F19" s="51"/>
      <c r="G19" s="51"/>
      <c r="H19" s="51"/>
      <c r="I19" s="51"/>
      <c r="J19" s="51"/>
    </row>
    <row r="20" spans="2:16" ht="22.5" customHeight="1" x14ac:dyDescent="0.25">
      <c r="B20" s="51"/>
      <c r="C20" s="51"/>
      <c r="D20" s="51"/>
      <c r="E20" s="51"/>
      <c r="F20" s="51"/>
      <c r="G20" s="51"/>
      <c r="H20" s="51"/>
      <c r="I20" s="51"/>
      <c r="J20" s="51"/>
    </row>
    <row r="21" spans="2:16" ht="22.5" customHeight="1" x14ac:dyDescent="0.35">
      <c r="C21" s="8"/>
    </row>
    <row r="22" spans="2:16" ht="22.5" customHeight="1" x14ac:dyDescent="0.25"/>
    <row r="23" spans="2:16" ht="45" customHeight="1" x14ac:dyDescent="0.25">
      <c r="C23" s="70" t="s">
        <v>14</v>
      </c>
      <c r="D23" s="71"/>
      <c r="E23" s="72" t="s">
        <v>15</v>
      </c>
      <c r="F23" s="71"/>
      <c r="G23" s="72" t="s">
        <v>16</v>
      </c>
      <c r="H23" s="71"/>
      <c r="I23" s="72" t="s">
        <v>17</v>
      </c>
      <c r="J23" s="71"/>
      <c r="K23" s="9"/>
      <c r="L23" s="10" t="s">
        <v>18</v>
      </c>
      <c r="M23" s="9"/>
      <c r="N23" s="9"/>
      <c r="O23" s="11"/>
    </row>
    <row r="24" spans="2:16" ht="45" customHeight="1" x14ac:dyDescent="0.25">
      <c r="B24" s="50">
        <v>1</v>
      </c>
      <c r="C24" s="46">
        <v>1</v>
      </c>
      <c r="D24" s="48" t="s">
        <v>19</v>
      </c>
      <c r="E24" s="46">
        <v>4</v>
      </c>
      <c r="F24" s="48" t="s">
        <v>20</v>
      </c>
      <c r="G24" s="46">
        <v>2</v>
      </c>
      <c r="H24" s="48" t="s">
        <v>21</v>
      </c>
      <c r="I24" s="46">
        <v>3</v>
      </c>
      <c r="J24" s="48" t="s">
        <v>22</v>
      </c>
      <c r="K24" s="9"/>
      <c r="L24" s="12" t="s">
        <v>23</v>
      </c>
      <c r="M24" s="9"/>
      <c r="N24" s="12" t="s">
        <v>24</v>
      </c>
      <c r="O24" s="11"/>
      <c r="P24" s="11"/>
    </row>
    <row r="25" spans="2:16" ht="114" customHeight="1" x14ac:dyDescent="0.25">
      <c r="B25" s="51"/>
      <c r="C25" s="47"/>
      <c r="D25" s="49"/>
      <c r="E25" s="47"/>
      <c r="F25" s="49"/>
      <c r="G25" s="47"/>
      <c r="H25" s="49"/>
      <c r="I25" s="47"/>
      <c r="J25" s="49"/>
      <c r="K25" s="9"/>
      <c r="L25" s="12" t="s">
        <v>25</v>
      </c>
      <c r="M25" s="9"/>
      <c r="N25" s="12" t="s">
        <v>26</v>
      </c>
    </row>
    <row r="26" spans="2:16" ht="15" customHeight="1" x14ac:dyDescent="0.25">
      <c r="B26" s="50">
        <v>2</v>
      </c>
      <c r="C26" s="46">
        <v>4</v>
      </c>
      <c r="D26" s="48" t="s">
        <v>27</v>
      </c>
      <c r="E26" s="46">
        <v>1</v>
      </c>
      <c r="F26" s="48" t="s">
        <v>28</v>
      </c>
      <c r="G26" s="46">
        <v>2</v>
      </c>
      <c r="H26" s="48" t="s">
        <v>29</v>
      </c>
      <c r="I26" s="46">
        <v>3</v>
      </c>
      <c r="J26" s="48" t="s">
        <v>30</v>
      </c>
    </row>
    <row r="27" spans="2:16" ht="112.5" customHeight="1" x14ac:dyDescent="0.25">
      <c r="B27" s="51"/>
      <c r="C27" s="47"/>
      <c r="D27" s="49"/>
      <c r="E27" s="47"/>
      <c r="F27" s="49"/>
      <c r="G27" s="47"/>
      <c r="H27" s="49"/>
      <c r="I27" s="47"/>
      <c r="J27" s="49"/>
    </row>
    <row r="28" spans="2:16" ht="22.5" customHeight="1" x14ac:dyDescent="0.25">
      <c r="B28" s="50">
        <v>3</v>
      </c>
      <c r="C28" s="46">
        <v>1</v>
      </c>
      <c r="D28" s="48" t="s">
        <v>31</v>
      </c>
      <c r="E28" s="46">
        <v>4</v>
      </c>
      <c r="F28" s="48" t="s">
        <v>32</v>
      </c>
      <c r="G28" s="46">
        <v>3</v>
      </c>
      <c r="H28" s="48" t="s">
        <v>33</v>
      </c>
      <c r="I28" s="46">
        <v>2</v>
      </c>
      <c r="J28" s="48" t="s">
        <v>34</v>
      </c>
    </row>
    <row r="29" spans="2:16" ht="106.5" customHeight="1" x14ac:dyDescent="0.25">
      <c r="B29" s="51"/>
      <c r="C29" s="47"/>
      <c r="D29" s="49"/>
      <c r="E29" s="47"/>
      <c r="F29" s="49"/>
      <c r="G29" s="47"/>
      <c r="H29" s="49"/>
      <c r="I29" s="47"/>
      <c r="J29" s="49"/>
    </row>
    <row r="30" spans="2:16" ht="22.5" customHeight="1" x14ac:dyDescent="0.25">
      <c r="B30" s="50">
        <v>4</v>
      </c>
      <c r="C30" s="46">
        <v>1</v>
      </c>
      <c r="D30" s="48" t="s">
        <v>35</v>
      </c>
      <c r="E30" s="46">
        <v>2</v>
      </c>
      <c r="F30" s="48" t="s">
        <v>36</v>
      </c>
      <c r="G30" s="46">
        <v>3</v>
      </c>
      <c r="H30" s="48" t="s">
        <v>37</v>
      </c>
      <c r="I30" s="46">
        <v>4</v>
      </c>
      <c r="J30" s="48" t="s">
        <v>38</v>
      </c>
    </row>
    <row r="31" spans="2:16" ht="155.25" customHeight="1" x14ac:dyDescent="0.25">
      <c r="B31" s="51"/>
      <c r="C31" s="47"/>
      <c r="D31" s="49"/>
      <c r="E31" s="47"/>
      <c r="F31" s="49"/>
      <c r="G31" s="47"/>
      <c r="H31" s="49"/>
      <c r="I31" s="47"/>
      <c r="J31" s="49"/>
    </row>
    <row r="32" spans="2:16" ht="22.5" customHeight="1" x14ac:dyDescent="0.25">
      <c r="B32" s="50">
        <v>5</v>
      </c>
      <c r="C32" s="46">
        <v>1</v>
      </c>
      <c r="D32" s="48" t="s">
        <v>39</v>
      </c>
      <c r="E32" s="46">
        <v>2</v>
      </c>
      <c r="F32" s="48" t="s">
        <v>40</v>
      </c>
      <c r="G32" s="46">
        <v>4</v>
      </c>
      <c r="H32" s="48" t="s">
        <v>41</v>
      </c>
      <c r="I32" s="46">
        <v>3</v>
      </c>
      <c r="J32" s="48" t="s">
        <v>42</v>
      </c>
    </row>
    <row r="33" spans="1:26" ht="99.75" customHeight="1" x14ac:dyDescent="0.25">
      <c r="B33" s="51"/>
      <c r="C33" s="47"/>
      <c r="D33" s="49"/>
      <c r="E33" s="47"/>
      <c r="F33" s="49"/>
      <c r="G33" s="47"/>
      <c r="H33" s="49"/>
      <c r="I33" s="47"/>
      <c r="J33" s="49"/>
    </row>
    <row r="34" spans="1:26" ht="22.5" customHeight="1" x14ac:dyDescent="0.25">
      <c r="B34" s="50">
        <v>6</v>
      </c>
      <c r="C34" s="46">
        <v>2</v>
      </c>
      <c r="D34" s="48" t="s">
        <v>43</v>
      </c>
      <c r="E34" s="46">
        <v>4</v>
      </c>
      <c r="F34" s="48" t="s">
        <v>44</v>
      </c>
      <c r="G34" s="46">
        <v>1</v>
      </c>
      <c r="H34" s="48" t="s">
        <v>45</v>
      </c>
      <c r="I34" s="46">
        <v>2</v>
      </c>
      <c r="J34" s="48" t="s">
        <v>46</v>
      </c>
    </row>
    <row r="35" spans="1:26" ht="144" customHeight="1" x14ac:dyDescent="0.25">
      <c r="B35" s="51"/>
      <c r="C35" s="47"/>
      <c r="D35" s="49"/>
      <c r="E35" s="47"/>
      <c r="F35" s="49"/>
      <c r="G35" s="47"/>
      <c r="H35" s="49"/>
      <c r="I35" s="47"/>
      <c r="J35" s="49"/>
    </row>
    <row r="36" spans="1:26" ht="22.5" customHeight="1" x14ac:dyDescent="0.25">
      <c r="B36" s="50">
        <v>7</v>
      </c>
      <c r="C36" s="46">
        <v>2</v>
      </c>
      <c r="D36" s="48" t="s">
        <v>47</v>
      </c>
      <c r="E36" s="46">
        <v>4</v>
      </c>
      <c r="F36" s="48" t="s">
        <v>48</v>
      </c>
      <c r="G36" s="46">
        <v>3</v>
      </c>
      <c r="H36" s="48" t="s">
        <v>49</v>
      </c>
      <c r="I36" s="46">
        <v>1</v>
      </c>
      <c r="J36" s="48" t="s">
        <v>50</v>
      </c>
    </row>
    <row r="37" spans="1:26" ht="141.75" customHeight="1" x14ac:dyDescent="0.25">
      <c r="B37" s="51"/>
      <c r="C37" s="47"/>
      <c r="D37" s="49"/>
      <c r="E37" s="47"/>
      <c r="F37" s="49"/>
      <c r="G37" s="47"/>
      <c r="H37" s="49"/>
      <c r="I37" s="47"/>
      <c r="J37" s="49"/>
    </row>
    <row r="38" spans="1:26" ht="22.5" customHeight="1" x14ac:dyDescent="0.25">
      <c r="B38" s="50">
        <v>8</v>
      </c>
      <c r="C38" s="46">
        <v>3</v>
      </c>
      <c r="D38" s="48" t="s">
        <v>51</v>
      </c>
      <c r="E38" s="46">
        <v>2</v>
      </c>
      <c r="F38" s="48" t="s">
        <v>52</v>
      </c>
      <c r="G38" s="46">
        <v>4</v>
      </c>
      <c r="H38" s="48" t="s">
        <v>53</v>
      </c>
      <c r="I38" s="46">
        <v>1</v>
      </c>
      <c r="J38" s="48" t="s">
        <v>54</v>
      </c>
    </row>
    <row r="39" spans="1:26" ht="127.5" customHeight="1" x14ac:dyDescent="0.25">
      <c r="B39" s="51"/>
      <c r="C39" s="47"/>
      <c r="D39" s="49"/>
      <c r="E39" s="47"/>
      <c r="F39" s="49"/>
      <c r="G39" s="47"/>
      <c r="H39" s="49"/>
      <c r="I39" s="47"/>
      <c r="J39" s="49"/>
    </row>
    <row r="40" spans="1:26" ht="22.5" customHeight="1" x14ac:dyDescent="0.25">
      <c r="B40" s="50">
        <v>9</v>
      </c>
      <c r="C40" s="46">
        <v>4</v>
      </c>
      <c r="D40" s="48" t="s">
        <v>55</v>
      </c>
      <c r="E40" s="46">
        <v>3</v>
      </c>
      <c r="F40" s="48" t="s">
        <v>56</v>
      </c>
      <c r="G40" s="46">
        <v>2</v>
      </c>
      <c r="H40" s="48" t="s">
        <v>57</v>
      </c>
      <c r="I40" s="46">
        <v>1</v>
      </c>
      <c r="J40" s="48" t="s">
        <v>58</v>
      </c>
    </row>
    <row r="41" spans="1:26" ht="150.75" customHeight="1" x14ac:dyDescent="0.25">
      <c r="B41" s="51"/>
      <c r="C41" s="47"/>
      <c r="D41" s="49"/>
      <c r="E41" s="47"/>
      <c r="F41" s="49"/>
      <c r="G41" s="47"/>
      <c r="H41" s="49"/>
      <c r="I41" s="47"/>
      <c r="J41" s="49"/>
    </row>
    <row r="43" spans="1:26" ht="15" customHeight="1" x14ac:dyDescent="0.25">
      <c r="A43" s="52" t="s">
        <v>59</v>
      </c>
      <c r="B43" s="51"/>
      <c r="C43" s="13">
        <f>+C26+C28+C30+C32+C36+C38</f>
        <v>12</v>
      </c>
      <c r="D43" s="13"/>
      <c r="E43" s="13">
        <f>+E24+E28+E34+E36+E38+E40</f>
        <v>21</v>
      </c>
      <c r="F43" s="13"/>
      <c r="G43" s="13">
        <f>+G26+G28+G30+G32+G38+G40</f>
        <v>18</v>
      </c>
      <c r="H43" s="13"/>
      <c r="I43" s="13">
        <f>+I24+I28+I34+I36+I38+I40</f>
        <v>10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" customHeight="1" x14ac:dyDescent="0.25">
      <c r="A44" s="15"/>
      <c r="B44" s="16"/>
      <c r="C44" s="17"/>
      <c r="D44" s="18"/>
      <c r="E44" s="17"/>
      <c r="F44" s="18"/>
      <c r="G44" s="17"/>
      <c r="H44" s="18"/>
      <c r="I44" s="17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30" customHeight="1" x14ac:dyDescent="0.3">
      <c r="D45" s="53" t="s">
        <v>60</v>
      </c>
      <c r="E45" s="54"/>
      <c r="F45" s="55"/>
      <c r="G45" s="19" t="s">
        <v>61</v>
      </c>
      <c r="H45" s="20">
        <f>G43-C43</f>
        <v>6</v>
      </c>
    </row>
    <row r="46" spans="1:26" ht="30.75" customHeight="1" x14ac:dyDescent="0.3">
      <c r="D46" s="53" t="s">
        <v>62</v>
      </c>
      <c r="E46" s="54"/>
      <c r="F46" s="55"/>
      <c r="G46" s="19" t="s">
        <v>63</v>
      </c>
      <c r="H46" s="20">
        <f>+I43-E43</f>
        <v>-11</v>
      </c>
    </row>
    <row r="48" spans="1:26" ht="28.5" customHeight="1" x14ac:dyDescent="0.25">
      <c r="J48" s="21"/>
      <c r="K48" s="22" t="s">
        <v>64</v>
      </c>
      <c r="L48" s="22" t="s">
        <v>15</v>
      </c>
      <c r="M48" s="22" t="s">
        <v>16</v>
      </c>
      <c r="N48" s="22" t="s">
        <v>65</v>
      </c>
    </row>
    <row r="49" spans="2:14" ht="15" customHeight="1" x14ac:dyDescent="0.25">
      <c r="B49" s="56"/>
      <c r="C49" s="51"/>
      <c r="D49" s="51"/>
      <c r="E49" s="51"/>
      <c r="J49" s="21"/>
      <c r="K49" s="23">
        <f>C43</f>
        <v>12</v>
      </c>
      <c r="L49" s="24">
        <f>E43</f>
        <v>21</v>
      </c>
      <c r="M49" s="25">
        <f>G43</f>
        <v>18</v>
      </c>
      <c r="N49" s="26">
        <f>I43</f>
        <v>10</v>
      </c>
    </row>
    <row r="50" spans="2:14" ht="15" customHeight="1" x14ac:dyDescent="0.25">
      <c r="J50" s="27"/>
      <c r="K50" s="27"/>
      <c r="L50" s="27"/>
      <c r="M50" s="27"/>
      <c r="N50" s="21"/>
    </row>
    <row r="51" spans="2:14" ht="18.75" customHeight="1" x14ac:dyDescent="0.3">
      <c r="D51" s="28" t="s">
        <v>66</v>
      </c>
      <c r="E51" s="29"/>
      <c r="F51" s="30" t="str">
        <f>IF(H45&gt;=3,"ASIMILADOR",IF(H45=18,"ASIMILADOR"," "))</f>
        <v>ASIMILADOR</v>
      </c>
      <c r="G51" s="31"/>
      <c r="H51" s="57" t="str">
        <f>IF(F51&lt;&gt;"ASIMILADOR","",IF(F52&lt;&gt;"ASIMILADOR","","ASIMILADOR"))</f>
        <v>ASIMILADOR</v>
      </c>
      <c r="J51" s="32"/>
      <c r="K51" s="32"/>
      <c r="L51" s="32"/>
      <c r="M51" s="32"/>
      <c r="N51" s="21"/>
    </row>
    <row r="52" spans="2:14" ht="27" customHeight="1" x14ac:dyDescent="0.3">
      <c r="D52" s="33" t="s">
        <v>67</v>
      </c>
      <c r="E52" s="29"/>
      <c r="F52" s="30" t="str">
        <f>IF(H46&lt;=2,"ASIMILADOR",IF(H46=-11,"ASIMILADOR"," "))</f>
        <v>ASIMILADOR</v>
      </c>
      <c r="G52" s="31"/>
      <c r="H52" s="58"/>
    </row>
    <row r="53" spans="2:14" ht="18.75" customHeight="1" x14ac:dyDescent="0.3">
      <c r="D53" s="29"/>
      <c r="E53" s="29"/>
      <c r="F53" s="34"/>
      <c r="G53" s="31"/>
      <c r="H53" s="35"/>
    </row>
    <row r="54" spans="2:14" ht="18.75" customHeight="1" x14ac:dyDescent="0.3">
      <c r="D54" s="36" t="s">
        <v>68</v>
      </c>
      <c r="E54" s="29"/>
      <c r="F54" s="30" t="str">
        <f>IF(H45&gt;=3,"CONVERGENTE",IF(H45=18,"CONVERGENTE"," "))</f>
        <v>CONVERGENTE</v>
      </c>
      <c r="G54" s="31"/>
      <c r="H54" s="59" t="str">
        <f>IF(F54&lt;&gt;"CONVERGENTE","",IF(F55&lt;&gt;"CONVERGENTE","","CONVERGENTE "))</f>
        <v/>
      </c>
    </row>
    <row r="55" spans="2:14" ht="27" customHeight="1" x14ac:dyDescent="0.3">
      <c r="D55" s="37" t="s">
        <v>69</v>
      </c>
      <c r="E55" s="29"/>
      <c r="F55" s="30" t="str">
        <f>IF(H46&gt;=3,"CONVERGENTE",IF(H46=17,"CONVERGENTE"," "))</f>
        <v xml:space="preserve"> </v>
      </c>
      <c r="G55" s="31"/>
      <c r="H55" s="58"/>
    </row>
    <row r="56" spans="2:14" ht="18.75" customHeight="1" x14ac:dyDescent="0.3">
      <c r="D56" s="29"/>
      <c r="E56" s="29"/>
      <c r="F56" s="34"/>
      <c r="G56" s="31"/>
      <c r="H56" s="35"/>
    </row>
    <row r="57" spans="2:14" ht="18.75" customHeight="1" x14ac:dyDescent="0.3">
      <c r="D57" s="38" t="s">
        <v>70</v>
      </c>
      <c r="E57" s="29"/>
      <c r="F57" s="30" t="str">
        <f t="shared" ref="F57:F58" si="0">IF(H45&lt;=2,"DIVERGENTE",IF(H45=-12,"DIVERGENTE"," "))</f>
        <v xml:space="preserve"> </v>
      </c>
      <c r="G57" s="31"/>
      <c r="H57" s="60" t="str">
        <f>IF(F57&lt;&gt;"DIVERGENTE","",IF(F58&lt;&gt;"DIVERGENTE","","DIVERGENTE "))</f>
        <v/>
      </c>
    </row>
    <row r="58" spans="2:14" ht="27" customHeight="1" x14ac:dyDescent="0.3">
      <c r="D58" s="39" t="s">
        <v>71</v>
      </c>
      <c r="E58" s="29"/>
      <c r="F58" s="30" t="str">
        <f t="shared" si="0"/>
        <v>DIVERGENTE</v>
      </c>
      <c r="G58" s="31"/>
      <c r="H58" s="58"/>
    </row>
    <row r="59" spans="2:14" ht="18.75" customHeight="1" x14ac:dyDescent="0.3">
      <c r="D59" s="29"/>
      <c r="E59" s="29"/>
      <c r="F59" s="34"/>
      <c r="G59" s="31"/>
      <c r="H59" s="35"/>
    </row>
    <row r="60" spans="2:14" ht="18.75" customHeight="1" x14ac:dyDescent="0.3">
      <c r="D60" s="40" t="s">
        <v>72</v>
      </c>
      <c r="E60" s="29"/>
      <c r="F60" s="30" t="str">
        <f>IF(H45&lt;=2,"ACOMODADOR",IF(H45=-12,"ACOMODADOR"," "))</f>
        <v xml:space="preserve"> </v>
      </c>
      <c r="G60" s="31"/>
      <c r="H60" s="61" t="e" cm="1">
        <f t="array" ref="H60">IF(G404F60&lt;&gt;"ACOMODADOR","",IF(F61&lt;&gt;"ACOMODADOR","","ACOMODADOR"))</f>
        <v>#NAME?</v>
      </c>
    </row>
    <row r="61" spans="2:14" ht="27" customHeight="1" x14ac:dyDescent="0.3">
      <c r="D61" s="41" t="s">
        <v>73</v>
      </c>
      <c r="E61" s="29"/>
      <c r="F61" s="30" t="str">
        <f>IF(H46&gt;=3,"ACOMODADOR",IF(H46=17,"ACOMODADOR"," "))</f>
        <v xml:space="preserve"> </v>
      </c>
      <c r="G61" s="31"/>
      <c r="H61" s="58"/>
    </row>
    <row r="63" spans="2:14" ht="22.5" customHeight="1" x14ac:dyDescent="0.25"/>
    <row r="64" spans="2:14" ht="22.5" customHeight="1" x14ac:dyDescent="0.25"/>
    <row r="65" ht="22.5" customHeight="1" x14ac:dyDescent="0.25"/>
    <row r="66" ht="22.5" customHeight="1" x14ac:dyDescent="0.25"/>
    <row r="67" ht="22.5" customHeight="1" x14ac:dyDescent="0.25"/>
    <row r="68" ht="22.5" customHeight="1" x14ac:dyDescent="0.25"/>
    <row r="69" ht="22.5" customHeight="1" x14ac:dyDescent="0.25"/>
    <row r="70" ht="22.5" customHeight="1" x14ac:dyDescent="0.25"/>
    <row r="71" ht="22.5" customHeight="1" x14ac:dyDescent="0.25"/>
    <row r="72" ht="22.5" customHeight="1" x14ac:dyDescent="0.25"/>
    <row r="73" ht="22.5" customHeight="1" x14ac:dyDescent="0.25"/>
    <row r="74" ht="22.5" customHeight="1" x14ac:dyDescent="0.25"/>
    <row r="75" ht="22.5" customHeight="1" x14ac:dyDescent="0.25"/>
    <row r="76" ht="22.5" customHeight="1" x14ac:dyDescent="0.25"/>
    <row r="77" ht="22.5" customHeight="1" x14ac:dyDescent="0.25"/>
    <row r="78" ht="22.5" customHeight="1" x14ac:dyDescent="0.25"/>
    <row r="79" ht="22.5" customHeight="1" x14ac:dyDescent="0.25"/>
    <row r="80" ht="22.5" customHeight="1" x14ac:dyDescent="0.25"/>
    <row r="81" ht="22.5" customHeight="1" x14ac:dyDescent="0.25"/>
    <row r="82" ht="22.5" customHeight="1" x14ac:dyDescent="0.25"/>
    <row r="83" ht="22.5" customHeight="1" x14ac:dyDescent="0.25"/>
    <row r="84" ht="22.5" customHeight="1" x14ac:dyDescent="0.25"/>
    <row r="85" ht="22.5" customHeight="1" x14ac:dyDescent="0.25"/>
    <row r="86" ht="22.5" customHeight="1" x14ac:dyDescent="0.25"/>
    <row r="87" ht="22.5" customHeight="1" x14ac:dyDescent="0.25"/>
    <row r="88" ht="22.5" customHeight="1" x14ac:dyDescent="0.25"/>
    <row r="89" ht="22.5" customHeight="1" x14ac:dyDescent="0.25"/>
    <row r="90" ht="22.5" customHeight="1" x14ac:dyDescent="0.25"/>
    <row r="91" ht="22.5" customHeight="1" x14ac:dyDescent="0.25"/>
    <row r="92" ht="22.5" customHeight="1" x14ac:dyDescent="0.25"/>
    <row r="93" ht="22.5" customHeight="1" x14ac:dyDescent="0.25"/>
    <row r="94" ht="22.5" customHeight="1" x14ac:dyDescent="0.25"/>
    <row r="95" ht="22.5" customHeight="1" x14ac:dyDescent="0.25"/>
    <row r="96" ht="22.5" customHeight="1" x14ac:dyDescent="0.25"/>
    <row r="97" ht="22.5" customHeight="1" x14ac:dyDescent="0.25"/>
    <row r="98" ht="22.5" customHeight="1" x14ac:dyDescent="0.25"/>
    <row r="99" ht="22.5" customHeight="1" x14ac:dyDescent="0.25"/>
    <row r="100" ht="22.5" customHeight="1" x14ac:dyDescent="0.25"/>
    <row r="101" ht="22.5" customHeight="1" x14ac:dyDescent="0.25"/>
    <row r="102" ht="22.5" customHeight="1" x14ac:dyDescent="0.25"/>
    <row r="103" ht="22.5" customHeight="1" x14ac:dyDescent="0.25"/>
    <row r="104" ht="22.5" customHeight="1" x14ac:dyDescent="0.25"/>
    <row r="105" ht="22.5" customHeight="1" x14ac:dyDescent="0.25"/>
    <row r="106" ht="22.5" customHeight="1" x14ac:dyDescent="0.25"/>
    <row r="107" ht="22.5" customHeight="1" x14ac:dyDescent="0.25"/>
    <row r="108" ht="22.5" customHeight="1" x14ac:dyDescent="0.25"/>
    <row r="109" ht="22.5" customHeight="1" x14ac:dyDescent="0.25"/>
    <row r="110" ht="22.5" customHeight="1" x14ac:dyDescent="0.25"/>
    <row r="111" ht="22.5" customHeight="1" x14ac:dyDescent="0.25"/>
    <row r="112" ht="22.5" customHeight="1" x14ac:dyDescent="0.25"/>
    <row r="113" ht="22.5" customHeight="1" x14ac:dyDescent="0.25"/>
    <row r="114" ht="22.5" customHeight="1" x14ac:dyDescent="0.25"/>
    <row r="115" ht="22.5" customHeight="1" x14ac:dyDescent="0.25"/>
    <row r="116" ht="22.5" customHeight="1" x14ac:dyDescent="0.25"/>
    <row r="117" ht="22.5" customHeight="1" x14ac:dyDescent="0.25"/>
    <row r="118" ht="22.5" customHeight="1" x14ac:dyDescent="0.25"/>
    <row r="119" ht="22.5" customHeight="1" x14ac:dyDescent="0.25"/>
    <row r="120" ht="22.5" customHeight="1" x14ac:dyDescent="0.25"/>
    <row r="121" ht="22.5" customHeight="1" x14ac:dyDescent="0.25"/>
    <row r="122" ht="22.5" customHeight="1" x14ac:dyDescent="0.25"/>
    <row r="123" ht="22.5" customHeight="1" x14ac:dyDescent="0.25"/>
    <row r="124" ht="22.5" customHeight="1" x14ac:dyDescent="0.25"/>
    <row r="125" ht="22.5" customHeight="1" x14ac:dyDescent="0.25"/>
    <row r="126" ht="22.5" customHeight="1" x14ac:dyDescent="0.25"/>
    <row r="127" ht="22.5" customHeight="1" x14ac:dyDescent="0.25"/>
    <row r="128" ht="22.5" customHeight="1" x14ac:dyDescent="0.25"/>
    <row r="129" ht="22.5" customHeight="1" x14ac:dyDescent="0.25"/>
    <row r="130" ht="22.5" customHeight="1" x14ac:dyDescent="0.25"/>
    <row r="131" ht="22.5" customHeight="1" x14ac:dyDescent="0.25"/>
    <row r="132" ht="22.5" customHeight="1" x14ac:dyDescent="0.25"/>
    <row r="133" ht="22.5" customHeight="1" x14ac:dyDescent="0.25"/>
    <row r="134" ht="22.5" customHeight="1" x14ac:dyDescent="0.25"/>
    <row r="135" ht="22.5" customHeight="1" x14ac:dyDescent="0.25"/>
    <row r="136" ht="22.5" customHeight="1" x14ac:dyDescent="0.25"/>
    <row r="137" ht="22.5" customHeight="1" x14ac:dyDescent="0.25"/>
    <row r="138" ht="22.5" customHeight="1" x14ac:dyDescent="0.25"/>
    <row r="139" ht="22.5" customHeight="1" x14ac:dyDescent="0.25"/>
    <row r="140" ht="22.5" customHeight="1" x14ac:dyDescent="0.25"/>
    <row r="141" ht="22.5" customHeight="1" x14ac:dyDescent="0.25"/>
    <row r="142" ht="22.5" customHeight="1" x14ac:dyDescent="0.25"/>
    <row r="143" ht="22.5" customHeight="1" x14ac:dyDescent="0.25"/>
    <row r="144" ht="22.5" customHeight="1" x14ac:dyDescent="0.25"/>
    <row r="145" ht="22.5" customHeight="1" x14ac:dyDescent="0.25"/>
    <row r="146" ht="22.5" customHeight="1" x14ac:dyDescent="0.25"/>
    <row r="147" ht="22.5" customHeight="1" x14ac:dyDescent="0.25"/>
    <row r="148" ht="22.5" customHeight="1" x14ac:dyDescent="0.25"/>
    <row r="149" ht="22.5" customHeight="1" x14ac:dyDescent="0.25"/>
    <row r="150" ht="22.5" customHeight="1" x14ac:dyDescent="0.25"/>
    <row r="151" ht="22.5" customHeight="1" x14ac:dyDescent="0.25"/>
    <row r="152" ht="22.5" customHeight="1" x14ac:dyDescent="0.25"/>
    <row r="153" ht="22.5" customHeight="1" x14ac:dyDescent="0.25"/>
    <row r="154" ht="22.5" customHeight="1" x14ac:dyDescent="0.25"/>
    <row r="155" ht="22.5" customHeight="1" x14ac:dyDescent="0.25"/>
    <row r="156" ht="22.5" customHeight="1" x14ac:dyDescent="0.25"/>
    <row r="157" ht="22.5" customHeight="1" x14ac:dyDescent="0.25"/>
    <row r="158" ht="22.5" customHeight="1" x14ac:dyDescent="0.25"/>
    <row r="159" ht="22.5" customHeight="1" x14ac:dyDescent="0.25"/>
    <row r="160" ht="22.5" customHeight="1" x14ac:dyDescent="0.25"/>
    <row r="161" ht="22.5" customHeight="1" x14ac:dyDescent="0.25"/>
    <row r="162" ht="22.5" customHeight="1" x14ac:dyDescent="0.25"/>
    <row r="163" ht="22.5" customHeight="1" x14ac:dyDescent="0.25"/>
    <row r="164" ht="22.5" customHeight="1" x14ac:dyDescent="0.25"/>
    <row r="165" ht="22.5" customHeight="1" x14ac:dyDescent="0.25"/>
    <row r="166" ht="22.5" customHeight="1" x14ac:dyDescent="0.25"/>
    <row r="167" ht="22.5" customHeight="1" x14ac:dyDescent="0.25"/>
    <row r="168" ht="22.5" customHeight="1" x14ac:dyDescent="0.25"/>
    <row r="169" ht="22.5" customHeight="1" x14ac:dyDescent="0.25"/>
    <row r="170" ht="22.5" customHeight="1" x14ac:dyDescent="0.25"/>
    <row r="171" ht="22.5" customHeight="1" x14ac:dyDescent="0.25"/>
    <row r="172" ht="22.5" customHeight="1" x14ac:dyDescent="0.25"/>
    <row r="173" ht="22.5" customHeight="1" x14ac:dyDescent="0.25"/>
    <row r="174" ht="22.5" customHeight="1" x14ac:dyDescent="0.25"/>
    <row r="175" ht="22.5" customHeight="1" x14ac:dyDescent="0.25"/>
    <row r="176" ht="22.5" customHeight="1" x14ac:dyDescent="0.25"/>
    <row r="177" ht="22.5" customHeight="1" x14ac:dyDescent="0.25"/>
    <row r="178" ht="22.5" customHeight="1" x14ac:dyDescent="0.25"/>
    <row r="179" ht="22.5" customHeight="1" x14ac:dyDescent="0.25"/>
    <row r="180" ht="22.5" customHeight="1" x14ac:dyDescent="0.25"/>
    <row r="181" ht="22.5" customHeight="1" x14ac:dyDescent="0.25"/>
    <row r="182" ht="22.5" customHeight="1" x14ac:dyDescent="0.25"/>
    <row r="183" ht="22.5" customHeight="1" x14ac:dyDescent="0.25"/>
    <row r="184" ht="22.5" customHeight="1" x14ac:dyDescent="0.25"/>
    <row r="185" ht="22.5" customHeight="1" x14ac:dyDescent="0.25"/>
    <row r="186" ht="22.5" customHeight="1" x14ac:dyDescent="0.25"/>
    <row r="187" ht="22.5" customHeight="1" x14ac:dyDescent="0.25"/>
    <row r="188" ht="22.5" customHeight="1" x14ac:dyDescent="0.25"/>
    <row r="189" ht="22.5" customHeight="1" x14ac:dyDescent="0.25"/>
    <row r="190" ht="22.5" customHeight="1" x14ac:dyDescent="0.25"/>
    <row r="191" ht="22.5" customHeight="1" x14ac:dyDescent="0.25"/>
    <row r="192" ht="22.5" customHeight="1" x14ac:dyDescent="0.25"/>
    <row r="193" ht="22.5" customHeight="1" x14ac:dyDescent="0.25"/>
    <row r="194" ht="22.5" customHeight="1" x14ac:dyDescent="0.25"/>
    <row r="195" ht="22.5" customHeight="1" x14ac:dyDescent="0.25"/>
    <row r="196" ht="22.5" customHeight="1" x14ac:dyDescent="0.25"/>
    <row r="197" ht="22.5" customHeight="1" x14ac:dyDescent="0.25"/>
    <row r="198" ht="22.5" customHeight="1" x14ac:dyDescent="0.25"/>
    <row r="199" ht="22.5" customHeight="1" x14ac:dyDescent="0.25"/>
    <row r="200" ht="22.5" customHeight="1" x14ac:dyDescent="0.25"/>
    <row r="201" ht="22.5" customHeight="1" x14ac:dyDescent="0.25"/>
    <row r="202" ht="22.5" customHeight="1" x14ac:dyDescent="0.25"/>
    <row r="203" ht="22.5" customHeight="1" x14ac:dyDescent="0.25"/>
    <row r="204" ht="22.5" customHeight="1" x14ac:dyDescent="0.25"/>
    <row r="205" ht="22.5" customHeight="1" x14ac:dyDescent="0.25"/>
    <row r="206" ht="22.5" customHeight="1" x14ac:dyDescent="0.25"/>
    <row r="207" ht="22.5" customHeight="1" x14ac:dyDescent="0.25"/>
    <row r="208" ht="22.5" customHeight="1" x14ac:dyDescent="0.25"/>
    <row r="209" ht="22.5" customHeight="1" x14ac:dyDescent="0.25"/>
    <row r="210" ht="22.5" customHeight="1" x14ac:dyDescent="0.25"/>
    <row r="211" ht="22.5" customHeight="1" x14ac:dyDescent="0.25"/>
    <row r="212" ht="22.5" customHeight="1" x14ac:dyDescent="0.25"/>
    <row r="213" ht="22.5" customHeight="1" x14ac:dyDescent="0.25"/>
    <row r="214" ht="22.5" customHeight="1" x14ac:dyDescent="0.25"/>
    <row r="215" ht="22.5" customHeight="1" x14ac:dyDescent="0.25"/>
    <row r="216" ht="22.5" customHeight="1" x14ac:dyDescent="0.25"/>
    <row r="217" ht="22.5" customHeight="1" x14ac:dyDescent="0.25"/>
    <row r="218" ht="22.5" customHeight="1" x14ac:dyDescent="0.25"/>
    <row r="219" ht="22.5" customHeight="1" x14ac:dyDescent="0.25"/>
    <row r="220" ht="22.5" customHeight="1" x14ac:dyDescent="0.25"/>
    <row r="221" ht="22.5" customHeight="1" x14ac:dyDescent="0.25"/>
    <row r="222" ht="22.5" customHeight="1" x14ac:dyDescent="0.25"/>
    <row r="223" ht="22.5" customHeight="1" x14ac:dyDescent="0.25"/>
    <row r="224" ht="22.5" customHeight="1" x14ac:dyDescent="0.25"/>
    <row r="225" ht="22.5" customHeight="1" x14ac:dyDescent="0.25"/>
    <row r="226" ht="22.5" customHeight="1" x14ac:dyDescent="0.25"/>
    <row r="227" ht="22.5" customHeight="1" x14ac:dyDescent="0.25"/>
    <row r="228" ht="22.5" customHeight="1" x14ac:dyDescent="0.25"/>
    <row r="229" ht="22.5" customHeight="1" x14ac:dyDescent="0.25"/>
    <row r="230" ht="22.5" customHeight="1" x14ac:dyDescent="0.25"/>
    <row r="231" ht="22.5" customHeight="1" x14ac:dyDescent="0.25"/>
    <row r="232" ht="22.5" customHeight="1" x14ac:dyDescent="0.25"/>
    <row r="233" ht="22.5" customHeight="1" x14ac:dyDescent="0.25"/>
    <row r="234" ht="22.5" customHeight="1" x14ac:dyDescent="0.25"/>
    <row r="235" ht="22.5" customHeight="1" x14ac:dyDescent="0.25"/>
    <row r="236" ht="22.5" customHeight="1" x14ac:dyDescent="0.25"/>
    <row r="237" ht="22.5" customHeight="1" x14ac:dyDescent="0.25"/>
    <row r="238" ht="22.5" customHeight="1" x14ac:dyDescent="0.25"/>
    <row r="239" ht="22.5" customHeight="1" x14ac:dyDescent="0.25"/>
    <row r="240" ht="22.5" customHeight="1" x14ac:dyDescent="0.25"/>
    <row r="241" ht="22.5" customHeight="1" x14ac:dyDescent="0.25"/>
    <row r="242" ht="22.5" customHeight="1" x14ac:dyDescent="0.25"/>
    <row r="243" ht="22.5" customHeight="1" x14ac:dyDescent="0.25"/>
    <row r="244" ht="22.5" customHeight="1" x14ac:dyDescent="0.25"/>
    <row r="245" ht="22.5" customHeight="1" x14ac:dyDescent="0.25"/>
    <row r="246" ht="22.5" customHeight="1" x14ac:dyDescent="0.25"/>
    <row r="247" ht="22.5" customHeight="1" x14ac:dyDescent="0.25"/>
    <row r="248" ht="22.5" customHeight="1" x14ac:dyDescent="0.25"/>
    <row r="249" ht="22.5" customHeight="1" x14ac:dyDescent="0.25"/>
    <row r="250" ht="22.5" customHeight="1" x14ac:dyDescent="0.25"/>
    <row r="251" ht="22.5" customHeight="1" x14ac:dyDescent="0.25"/>
    <row r="252" ht="22.5" customHeight="1" x14ac:dyDescent="0.25"/>
    <row r="253" ht="22.5" customHeight="1" x14ac:dyDescent="0.25"/>
    <row r="254" ht="22.5" customHeight="1" x14ac:dyDescent="0.25"/>
    <row r="255" ht="22.5" customHeight="1" x14ac:dyDescent="0.25"/>
    <row r="256" ht="22.5" customHeight="1" x14ac:dyDescent="0.25"/>
    <row r="257" ht="22.5" customHeight="1" x14ac:dyDescent="0.25"/>
    <row r="258" ht="22.5" customHeight="1" x14ac:dyDescent="0.25"/>
    <row r="259" ht="22.5" customHeight="1" x14ac:dyDescent="0.25"/>
    <row r="260" ht="22.5" customHeight="1" x14ac:dyDescent="0.25"/>
    <row r="261" ht="22.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5">
    <mergeCell ref="E23:F23"/>
    <mergeCell ref="G23:H23"/>
    <mergeCell ref="B24:B25"/>
    <mergeCell ref="C24:C25"/>
    <mergeCell ref="D24:D25"/>
    <mergeCell ref="E24:E25"/>
    <mergeCell ref="F24:F25"/>
    <mergeCell ref="I40:I41"/>
    <mergeCell ref="J40:J41"/>
    <mergeCell ref="B40:B41"/>
    <mergeCell ref="C40:C41"/>
    <mergeCell ref="D40:D41"/>
    <mergeCell ref="E40:E41"/>
    <mergeCell ref="F40:F41"/>
    <mergeCell ref="G40:G41"/>
    <mergeCell ref="H40:H41"/>
    <mergeCell ref="I5:J5"/>
    <mergeCell ref="B2:J2"/>
    <mergeCell ref="C4:D4"/>
    <mergeCell ref="E4:F4"/>
    <mergeCell ref="G4:H4"/>
    <mergeCell ref="I4:J4"/>
    <mergeCell ref="C5:D5"/>
    <mergeCell ref="E5:F5"/>
    <mergeCell ref="C6:D6"/>
    <mergeCell ref="E6:F6"/>
    <mergeCell ref="G6:H6"/>
    <mergeCell ref="I6:J6"/>
    <mergeCell ref="H60:H61"/>
    <mergeCell ref="B38:B39"/>
    <mergeCell ref="C38:C39"/>
    <mergeCell ref="D38:D39"/>
    <mergeCell ref="E38:E39"/>
    <mergeCell ref="F38:F39"/>
    <mergeCell ref="G38:G39"/>
    <mergeCell ref="H38:H39"/>
    <mergeCell ref="G5:H5"/>
    <mergeCell ref="B8:J8"/>
    <mergeCell ref="D10:F10"/>
    <mergeCell ref="D11:F11"/>
    <mergeCell ref="D12:F12"/>
    <mergeCell ref="D13:F13"/>
    <mergeCell ref="B15:J15"/>
    <mergeCell ref="B16:J16"/>
    <mergeCell ref="B17:J17"/>
    <mergeCell ref="B19:J20"/>
    <mergeCell ref="C23:D23"/>
    <mergeCell ref="I23:J23"/>
    <mergeCell ref="G24:G25"/>
    <mergeCell ref="H24:H25"/>
    <mergeCell ref="I24:I25"/>
    <mergeCell ref="J24:J25"/>
    <mergeCell ref="I38:I39"/>
    <mergeCell ref="J38:J39"/>
    <mergeCell ref="A43:B43"/>
    <mergeCell ref="D45:F45"/>
    <mergeCell ref="D46:F46"/>
    <mergeCell ref="B49:E49"/>
    <mergeCell ref="H51:H52"/>
    <mergeCell ref="H54:H55"/>
    <mergeCell ref="H57:H58"/>
    <mergeCell ref="I36:I37"/>
    <mergeCell ref="J36:J37"/>
    <mergeCell ref="B36:B37"/>
    <mergeCell ref="C36:C37"/>
    <mergeCell ref="D36:D37"/>
    <mergeCell ref="E36:E37"/>
    <mergeCell ref="F36:F37"/>
    <mergeCell ref="G36:G37"/>
    <mergeCell ref="H36:H37"/>
    <mergeCell ref="I34:I35"/>
    <mergeCell ref="J34:J35"/>
    <mergeCell ref="B34:B35"/>
    <mergeCell ref="C34:C35"/>
    <mergeCell ref="D34:D35"/>
    <mergeCell ref="E34:E35"/>
    <mergeCell ref="F34:F35"/>
    <mergeCell ref="G34:G35"/>
    <mergeCell ref="H34:H35"/>
    <mergeCell ref="I32:I33"/>
    <mergeCell ref="J32:J33"/>
    <mergeCell ref="B32:B33"/>
    <mergeCell ref="C32:C33"/>
    <mergeCell ref="D32:D33"/>
    <mergeCell ref="E32:E33"/>
    <mergeCell ref="F32:F33"/>
    <mergeCell ref="G32:G33"/>
    <mergeCell ref="H32:H33"/>
    <mergeCell ref="I30:I31"/>
    <mergeCell ref="J30:J31"/>
    <mergeCell ref="B30:B31"/>
    <mergeCell ref="C30:C31"/>
    <mergeCell ref="D30:D31"/>
    <mergeCell ref="E30:E31"/>
    <mergeCell ref="F30:F31"/>
    <mergeCell ref="G30:G31"/>
    <mergeCell ref="H30:H31"/>
    <mergeCell ref="I28:I29"/>
    <mergeCell ref="J28:J29"/>
    <mergeCell ref="B28:B29"/>
    <mergeCell ref="C28:C29"/>
    <mergeCell ref="D28:D29"/>
    <mergeCell ref="E28:E29"/>
    <mergeCell ref="F28:F29"/>
    <mergeCell ref="G28:G29"/>
    <mergeCell ref="H28:H29"/>
    <mergeCell ref="I26:I27"/>
    <mergeCell ref="J26:J27"/>
    <mergeCell ref="B26:B27"/>
    <mergeCell ref="C26:C27"/>
    <mergeCell ref="D26:D27"/>
    <mergeCell ref="E26:E27"/>
    <mergeCell ref="F26:F27"/>
    <mergeCell ref="G26:G27"/>
    <mergeCell ref="H26:H27"/>
  </mergeCells>
  <pageMargins left="0.7" right="0.7" top="0.75" bottom="0.75" header="0" footer="0"/>
  <pageSetup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showGridLines="0" workbookViewId="0"/>
  </sheetViews>
  <sheetFormatPr baseColWidth="10" defaultColWidth="14.42578125" defaultRowHeight="15" customHeight="1" x14ac:dyDescent="0.25"/>
  <cols>
    <col min="1" max="10" width="10" customWidth="1"/>
  </cols>
  <sheetData>
    <row r="1" spans="1:9" ht="15.75" customHeight="1" x14ac:dyDescent="0.25">
      <c r="A1" s="76" t="s">
        <v>72</v>
      </c>
      <c r="B1" s="75"/>
      <c r="C1" s="75"/>
      <c r="D1" s="75"/>
      <c r="E1" s="75"/>
      <c r="F1" s="75"/>
      <c r="G1" s="75"/>
      <c r="H1" s="75"/>
      <c r="I1" s="75"/>
    </row>
    <row r="2" spans="1:9" ht="15.75" customHeight="1" x14ac:dyDescent="0.25">
      <c r="A2" s="15" t="s">
        <v>72</v>
      </c>
      <c r="B2" s="42"/>
      <c r="C2" s="42"/>
      <c r="D2" s="42"/>
      <c r="E2" s="42"/>
      <c r="F2" s="42"/>
      <c r="G2" s="42"/>
      <c r="H2" s="42"/>
      <c r="I2" s="42"/>
    </row>
    <row r="3" spans="1:9" ht="15.75" customHeight="1" x14ac:dyDescent="0.25">
      <c r="A3" s="21" t="s">
        <v>73</v>
      </c>
      <c r="B3" s="42"/>
      <c r="C3" s="42"/>
      <c r="D3" s="42"/>
      <c r="E3" s="42"/>
      <c r="F3" s="42"/>
      <c r="G3" s="42"/>
      <c r="H3" s="42"/>
      <c r="I3" s="42"/>
    </row>
    <row r="4" spans="1:9" x14ac:dyDescent="0.25">
      <c r="A4" s="43"/>
      <c r="B4" s="43"/>
      <c r="C4" s="43"/>
      <c r="D4" s="43"/>
      <c r="E4" s="43"/>
      <c r="F4" s="43"/>
      <c r="G4" s="43"/>
      <c r="H4" s="43"/>
      <c r="I4" s="43"/>
    </row>
    <row r="5" spans="1:9" x14ac:dyDescent="0.25">
      <c r="A5" s="73" t="s">
        <v>74</v>
      </c>
      <c r="B5" s="51"/>
      <c r="C5" s="51"/>
      <c r="D5" s="51"/>
      <c r="E5" s="51"/>
      <c r="F5" s="51"/>
      <c r="G5" s="51"/>
      <c r="H5" s="51"/>
      <c r="I5" s="51"/>
    </row>
    <row r="6" spans="1:9" ht="15" customHeight="1" x14ac:dyDescent="0.25">
      <c r="A6" s="51"/>
      <c r="B6" s="51"/>
      <c r="C6" s="51"/>
      <c r="D6" s="51"/>
      <c r="E6" s="51"/>
      <c r="F6" s="51"/>
      <c r="G6" s="51"/>
      <c r="H6" s="51"/>
      <c r="I6" s="51"/>
    </row>
    <row r="7" spans="1:9" ht="15" customHeight="1" x14ac:dyDescent="0.25">
      <c r="A7" s="51"/>
      <c r="B7" s="51"/>
      <c r="C7" s="51"/>
      <c r="D7" s="51"/>
      <c r="E7" s="51"/>
      <c r="F7" s="51"/>
      <c r="G7" s="51"/>
      <c r="H7" s="51"/>
      <c r="I7" s="51"/>
    </row>
    <row r="8" spans="1:9" ht="15" customHeight="1" x14ac:dyDescent="0.25">
      <c r="A8" s="51"/>
      <c r="B8" s="51"/>
      <c r="C8" s="51"/>
      <c r="D8" s="51"/>
      <c r="E8" s="51"/>
      <c r="F8" s="51"/>
      <c r="G8" s="51"/>
      <c r="H8" s="51"/>
      <c r="I8" s="51"/>
    </row>
    <row r="9" spans="1:9" x14ac:dyDescent="0.25">
      <c r="A9" s="44"/>
      <c r="B9" s="44"/>
      <c r="C9" s="44"/>
      <c r="D9" s="44"/>
      <c r="E9" s="44"/>
      <c r="F9" s="44"/>
      <c r="G9" s="44"/>
      <c r="H9" s="44"/>
      <c r="I9" s="44"/>
    </row>
    <row r="10" spans="1:9" x14ac:dyDescent="0.25">
      <c r="A10" s="73" t="s">
        <v>75</v>
      </c>
      <c r="B10" s="51"/>
      <c r="C10" s="51"/>
      <c r="D10" s="51"/>
      <c r="E10" s="51"/>
      <c r="F10" s="51"/>
      <c r="G10" s="51"/>
      <c r="H10" s="51"/>
      <c r="I10" s="51"/>
    </row>
    <row r="11" spans="1:9" ht="15" customHeight="1" x14ac:dyDescent="0.25">
      <c r="A11" s="51"/>
      <c r="B11" s="51"/>
      <c r="C11" s="51"/>
      <c r="D11" s="51"/>
      <c r="E11" s="51"/>
      <c r="F11" s="51"/>
      <c r="G11" s="51"/>
      <c r="H11" s="51"/>
      <c r="I11" s="51"/>
    </row>
    <row r="12" spans="1:9" ht="15" customHeight="1" x14ac:dyDescent="0.25">
      <c r="A12" s="51"/>
      <c r="B12" s="51"/>
      <c r="C12" s="51"/>
      <c r="D12" s="51"/>
      <c r="E12" s="51"/>
      <c r="F12" s="51"/>
      <c r="G12" s="51"/>
      <c r="H12" s="51"/>
      <c r="I12" s="51"/>
    </row>
    <row r="13" spans="1:9" ht="15" customHeight="1" x14ac:dyDescent="0.25">
      <c r="A13" s="51"/>
      <c r="B13" s="51"/>
      <c r="C13" s="51"/>
      <c r="D13" s="51"/>
      <c r="E13" s="51"/>
      <c r="F13" s="51"/>
      <c r="G13" s="51"/>
      <c r="H13" s="51"/>
      <c r="I13" s="51"/>
    </row>
    <row r="14" spans="1:9" x14ac:dyDescent="0.25">
      <c r="A14" s="73" t="s">
        <v>76</v>
      </c>
      <c r="B14" s="51"/>
      <c r="C14" s="51"/>
      <c r="D14" s="51"/>
      <c r="E14" s="51"/>
      <c r="F14" s="51"/>
      <c r="G14" s="51"/>
      <c r="H14" s="51"/>
      <c r="I14" s="51"/>
    </row>
    <row r="15" spans="1:9" ht="15" customHeight="1" x14ac:dyDescent="0.25">
      <c r="A15" s="51"/>
      <c r="B15" s="51"/>
      <c r="C15" s="51"/>
      <c r="D15" s="51"/>
      <c r="E15" s="51"/>
      <c r="F15" s="51"/>
      <c r="G15" s="51"/>
      <c r="H15" s="51"/>
      <c r="I15" s="51"/>
    </row>
    <row r="16" spans="1:9" ht="15" customHeight="1" x14ac:dyDescent="0.25">
      <c r="A16" s="51"/>
      <c r="B16" s="51"/>
      <c r="C16" s="51"/>
      <c r="D16" s="51"/>
      <c r="E16" s="51"/>
      <c r="F16" s="51"/>
      <c r="G16" s="51"/>
      <c r="H16" s="51"/>
      <c r="I16" s="51"/>
    </row>
    <row r="17" spans="1:10" ht="15" customHeight="1" x14ac:dyDescent="0.25">
      <c r="A17" s="51"/>
      <c r="B17" s="51"/>
      <c r="C17" s="51"/>
      <c r="D17" s="51"/>
      <c r="E17" s="51"/>
      <c r="F17" s="51"/>
      <c r="G17" s="51"/>
      <c r="H17" s="51"/>
      <c r="I17" s="51"/>
    </row>
    <row r="18" spans="1:10" x14ac:dyDescent="0.25">
      <c r="A18" s="43"/>
      <c r="B18" s="43"/>
      <c r="C18" s="43"/>
      <c r="D18" s="43"/>
      <c r="E18" s="43"/>
      <c r="F18" s="43"/>
      <c r="G18" s="43"/>
      <c r="H18" s="43"/>
      <c r="I18" s="43"/>
    </row>
    <row r="19" spans="1:10" ht="15.75" customHeight="1" x14ac:dyDescent="0.25">
      <c r="A19" s="77" t="s">
        <v>70</v>
      </c>
      <c r="B19" s="75"/>
      <c r="C19" s="75"/>
      <c r="D19" s="75"/>
      <c r="E19" s="75"/>
      <c r="F19" s="75"/>
      <c r="G19" s="75"/>
      <c r="H19" s="75"/>
      <c r="I19" s="75"/>
    </row>
    <row r="20" spans="1:10" x14ac:dyDescent="0.25">
      <c r="A20" s="45" t="s">
        <v>71</v>
      </c>
      <c r="B20" s="43"/>
      <c r="C20" s="43"/>
      <c r="D20" s="43"/>
      <c r="E20" s="43"/>
      <c r="F20" s="43"/>
      <c r="G20" s="43"/>
      <c r="H20" s="43"/>
      <c r="I20" s="43"/>
      <c r="J20" s="15"/>
    </row>
    <row r="21" spans="1:10" ht="15.75" customHeight="1" x14ac:dyDescent="0.25">
      <c r="A21" s="73" t="s">
        <v>77</v>
      </c>
      <c r="B21" s="51"/>
      <c r="C21" s="51"/>
      <c r="D21" s="51"/>
      <c r="E21" s="51"/>
      <c r="F21" s="51"/>
      <c r="G21" s="51"/>
      <c r="H21" s="51"/>
      <c r="I21" s="51"/>
    </row>
    <row r="22" spans="1:10" ht="15.75" customHeight="1" x14ac:dyDescent="0.25">
      <c r="A22" s="51"/>
      <c r="B22" s="51"/>
      <c r="C22" s="51"/>
      <c r="D22" s="51"/>
      <c r="E22" s="51"/>
      <c r="F22" s="51"/>
      <c r="G22" s="51"/>
      <c r="H22" s="51"/>
      <c r="I22" s="51"/>
    </row>
    <row r="23" spans="1:10" ht="15.75" customHeight="1" x14ac:dyDescent="0.25">
      <c r="A23" s="51"/>
      <c r="B23" s="51"/>
      <c r="C23" s="51"/>
      <c r="D23" s="51"/>
      <c r="E23" s="51"/>
      <c r="F23" s="51"/>
      <c r="G23" s="51"/>
      <c r="H23" s="51"/>
      <c r="I23" s="51"/>
    </row>
    <row r="24" spans="1:10" ht="15.75" customHeight="1" x14ac:dyDescent="0.25">
      <c r="A24" s="51"/>
      <c r="B24" s="51"/>
      <c r="C24" s="51"/>
      <c r="D24" s="51"/>
      <c r="E24" s="51"/>
      <c r="F24" s="51"/>
      <c r="G24" s="51"/>
      <c r="H24" s="51"/>
      <c r="I24" s="51"/>
    </row>
    <row r="25" spans="1:10" ht="15.75" customHeight="1" x14ac:dyDescent="0.25">
      <c r="A25" s="43"/>
      <c r="B25" s="43"/>
      <c r="C25" s="43"/>
      <c r="D25" s="43"/>
      <c r="E25" s="43"/>
      <c r="F25" s="43"/>
      <c r="G25" s="43"/>
      <c r="H25" s="43"/>
      <c r="I25" s="43"/>
    </row>
    <row r="26" spans="1:10" ht="15.75" customHeight="1" x14ac:dyDescent="0.25">
      <c r="A26" s="78" t="s">
        <v>68</v>
      </c>
      <c r="B26" s="75"/>
      <c r="C26" s="75"/>
      <c r="D26" s="75"/>
      <c r="E26" s="75"/>
      <c r="F26" s="75"/>
      <c r="G26" s="75"/>
      <c r="H26" s="75"/>
      <c r="I26" s="75"/>
    </row>
    <row r="27" spans="1:10" ht="15.75" customHeight="1" x14ac:dyDescent="0.25">
      <c r="A27" s="45" t="s">
        <v>69</v>
      </c>
      <c r="B27" s="43"/>
      <c r="C27" s="43"/>
      <c r="D27" s="43"/>
      <c r="E27" s="43"/>
      <c r="F27" s="43"/>
      <c r="G27" s="43"/>
      <c r="H27" s="43"/>
      <c r="I27" s="43"/>
    </row>
    <row r="28" spans="1:10" ht="15.75" customHeight="1" x14ac:dyDescent="0.25">
      <c r="A28" s="73" t="s">
        <v>78</v>
      </c>
      <c r="B28" s="51"/>
      <c r="C28" s="51"/>
      <c r="D28" s="51"/>
      <c r="E28" s="51"/>
      <c r="F28" s="51"/>
      <c r="G28" s="51"/>
      <c r="H28" s="51"/>
      <c r="I28" s="51"/>
      <c r="J28" s="15"/>
    </row>
    <row r="29" spans="1:10" ht="15.75" customHeight="1" x14ac:dyDescent="0.25">
      <c r="A29" s="51"/>
      <c r="B29" s="51"/>
      <c r="C29" s="51"/>
      <c r="D29" s="51"/>
      <c r="E29" s="51"/>
      <c r="F29" s="51"/>
      <c r="G29" s="51"/>
      <c r="H29" s="51"/>
      <c r="I29" s="51"/>
    </row>
    <row r="30" spans="1:10" ht="15.75" customHeight="1" x14ac:dyDescent="0.25">
      <c r="A30" s="51"/>
      <c r="B30" s="51"/>
      <c r="C30" s="51"/>
      <c r="D30" s="51"/>
      <c r="E30" s="51"/>
      <c r="F30" s="51"/>
      <c r="G30" s="51"/>
      <c r="H30" s="51"/>
      <c r="I30" s="51"/>
    </row>
    <row r="31" spans="1:10" ht="15.75" customHeight="1" x14ac:dyDescent="0.25">
      <c r="A31" s="51"/>
      <c r="B31" s="51"/>
      <c r="C31" s="51"/>
      <c r="D31" s="51"/>
      <c r="E31" s="51"/>
      <c r="F31" s="51"/>
      <c r="G31" s="51"/>
      <c r="H31" s="51"/>
      <c r="I31" s="51"/>
    </row>
    <row r="32" spans="1:10" ht="15.75" customHeight="1" x14ac:dyDescent="0.25">
      <c r="A32" s="44"/>
      <c r="B32" s="44"/>
      <c r="C32" s="44"/>
      <c r="D32" s="44"/>
      <c r="E32" s="44"/>
      <c r="F32" s="44"/>
      <c r="G32" s="44"/>
      <c r="H32" s="44"/>
      <c r="I32" s="44"/>
    </row>
    <row r="33" spans="1:10" ht="15.75" customHeight="1" x14ac:dyDescent="0.25">
      <c r="A33" s="73" t="s">
        <v>79</v>
      </c>
      <c r="B33" s="51"/>
      <c r="C33" s="51"/>
      <c r="D33" s="51"/>
      <c r="E33" s="51"/>
      <c r="F33" s="51"/>
      <c r="G33" s="51"/>
      <c r="H33" s="51"/>
      <c r="I33" s="51"/>
    </row>
    <row r="34" spans="1:10" ht="15.75" customHeight="1" x14ac:dyDescent="0.25">
      <c r="A34" s="51"/>
      <c r="B34" s="51"/>
      <c r="C34" s="51"/>
      <c r="D34" s="51"/>
      <c r="E34" s="51"/>
      <c r="F34" s="51"/>
      <c r="G34" s="51"/>
      <c r="H34" s="51"/>
      <c r="I34" s="51"/>
    </row>
    <row r="35" spans="1:10" ht="15.75" customHeight="1" x14ac:dyDescent="0.25">
      <c r="A35" s="51"/>
      <c r="B35" s="51"/>
      <c r="C35" s="51"/>
      <c r="D35" s="51"/>
      <c r="E35" s="51"/>
      <c r="F35" s="51"/>
      <c r="G35" s="51"/>
      <c r="H35" s="51"/>
      <c r="I35" s="51"/>
    </row>
    <row r="36" spans="1:10" ht="15.75" customHeight="1" x14ac:dyDescent="0.25">
      <c r="A36" s="51"/>
      <c r="B36" s="51"/>
      <c r="C36" s="51"/>
      <c r="D36" s="51"/>
      <c r="E36" s="51"/>
      <c r="F36" s="51"/>
      <c r="G36" s="51"/>
      <c r="H36" s="51"/>
      <c r="I36" s="51"/>
    </row>
    <row r="37" spans="1:10" ht="15.75" customHeight="1" x14ac:dyDescent="0.25"/>
    <row r="38" spans="1:10" ht="15.75" customHeight="1" x14ac:dyDescent="0.25">
      <c r="A38" s="74" t="s">
        <v>66</v>
      </c>
      <c r="B38" s="75"/>
      <c r="C38" s="75"/>
      <c r="D38" s="75"/>
      <c r="E38" s="75"/>
      <c r="F38" s="75"/>
      <c r="G38" s="75"/>
      <c r="H38" s="75"/>
      <c r="I38" s="75"/>
    </row>
    <row r="39" spans="1:10" ht="15.75" customHeight="1" x14ac:dyDescent="0.25">
      <c r="A39" s="45" t="s">
        <v>67</v>
      </c>
      <c r="B39" s="43"/>
      <c r="C39" s="43"/>
      <c r="D39" s="43"/>
      <c r="E39" s="43"/>
      <c r="F39" s="43"/>
      <c r="G39" s="43"/>
      <c r="H39" s="43"/>
      <c r="I39" s="43"/>
    </row>
    <row r="40" spans="1:10" ht="15.75" customHeight="1" x14ac:dyDescent="0.25">
      <c r="A40" s="73" t="s">
        <v>80</v>
      </c>
      <c r="B40" s="51"/>
      <c r="C40" s="51"/>
      <c r="D40" s="51"/>
      <c r="E40" s="51"/>
      <c r="F40" s="51"/>
      <c r="G40" s="51"/>
      <c r="H40" s="51"/>
      <c r="I40" s="51"/>
      <c r="J40" s="15"/>
    </row>
    <row r="41" spans="1:10" ht="15.75" customHeight="1" x14ac:dyDescent="0.25">
      <c r="A41" s="51"/>
      <c r="B41" s="51"/>
      <c r="C41" s="51"/>
      <c r="D41" s="51"/>
      <c r="E41" s="51"/>
      <c r="F41" s="51"/>
      <c r="G41" s="51"/>
      <c r="H41" s="51"/>
      <c r="I41" s="51"/>
    </row>
    <row r="42" spans="1:10" ht="15.75" customHeight="1" x14ac:dyDescent="0.25">
      <c r="A42" s="51"/>
      <c r="B42" s="51"/>
      <c r="C42" s="51"/>
      <c r="D42" s="51"/>
      <c r="E42" s="51"/>
      <c r="F42" s="51"/>
      <c r="G42" s="51"/>
      <c r="H42" s="51"/>
      <c r="I42" s="51"/>
    </row>
    <row r="43" spans="1:10" ht="15.75" customHeight="1" x14ac:dyDescent="0.25">
      <c r="A43" s="51"/>
      <c r="B43" s="51"/>
      <c r="C43" s="51"/>
      <c r="D43" s="51"/>
      <c r="E43" s="51"/>
      <c r="F43" s="51"/>
      <c r="G43" s="51"/>
      <c r="H43" s="51"/>
      <c r="I43" s="51"/>
    </row>
    <row r="44" spans="1:10" ht="15.75" customHeight="1" x14ac:dyDescent="0.25">
      <c r="A44" s="44"/>
      <c r="B44" s="44"/>
      <c r="C44" s="44"/>
      <c r="D44" s="44"/>
      <c r="E44" s="44"/>
      <c r="F44" s="44"/>
      <c r="G44" s="44"/>
      <c r="H44" s="44"/>
      <c r="I44" s="44"/>
    </row>
    <row r="45" spans="1:10" ht="15.75" customHeight="1" x14ac:dyDescent="0.25">
      <c r="A45" s="73" t="s">
        <v>81</v>
      </c>
      <c r="B45" s="51"/>
      <c r="C45" s="51"/>
      <c r="D45" s="51"/>
      <c r="E45" s="51"/>
      <c r="F45" s="51"/>
      <c r="G45" s="51"/>
      <c r="H45" s="51"/>
      <c r="I45" s="51"/>
    </row>
    <row r="46" spans="1:10" ht="15.75" customHeight="1" x14ac:dyDescent="0.25">
      <c r="A46" s="51"/>
      <c r="B46" s="51"/>
      <c r="C46" s="51"/>
      <c r="D46" s="51"/>
      <c r="E46" s="51"/>
      <c r="F46" s="51"/>
      <c r="G46" s="51"/>
      <c r="H46" s="51"/>
      <c r="I46" s="51"/>
    </row>
    <row r="47" spans="1:10" ht="15.75" customHeight="1" x14ac:dyDescent="0.25">
      <c r="A47" s="51"/>
      <c r="B47" s="51"/>
      <c r="C47" s="51"/>
      <c r="D47" s="51"/>
      <c r="E47" s="51"/>
      <c r="F47" s="51"/>
      <c r="G47" s="51"/>
      <c r="H47" s="51"/>
      <c r="I47" s="51"/>
    </row>
    <row r="48" spans="1:10" ht="15.75" customHeight="1" x14ac:dyDescent="0.25">
      <c r="A48" s="51"/>
      <c r="B48" s="51"/>
      <c r="C48" s="51"/>
      <c r="D48" s="51"/>
      <c r="E48" s="51"/>
      <c r="F48" s="51"/>
      <c r="G48" s="51"/>
      <c r="H48" s="51"/>
      <c r="I48" s="51"/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A21:I24"/>
    <mergeCell ref="A26:I26"/>
    <mergeCell ref="A1:I1"/>
    <mergeCell ref="A5:I8"/>
    <mergeCell ref="A10:I13"/>
    <mergeCell ref="A14:I17"/>
    <mergeCell ref="A19:I19"/>
    <mergeCell ref="A28:I31"/>
    <mergeCell ref="A33:I36"/>
    <mergeCell ref="A38:I38"/>
    <mergeCell ref="A40:I43"/>
    <mergeCell ref="A45:I4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</vt:lpstr>
      <vt:lpstr>SINTESIS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2026-05-12T00:37:46Z</dcterms:created>
  <dcterms:modified xsi:type="dcterms:W3CDTF">2026-05-12T00:37:46Z</dcterms:modified>
</cp:coreProperties>
</file>